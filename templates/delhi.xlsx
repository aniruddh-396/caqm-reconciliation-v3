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630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6" i="1" l="1"/>
  <c r="C11" i="1" l="1"/>
  <c r="C5" i="1" l="1"/>
  <c r="C8" i="1"/>
  <c r="C13" i="1"/>
  <c r="G3" i="1"/>
  <c r="E3" i="1" l="1"/>
  <c r="E13" i="1" l="1"/>
  <c r="G13" i="1"/>
  <c r="F18" i="1"/>
  <c r="C18" i="1" s="1"/>
  <c r="E17" i="1"/>
  <c r="G17" i="1"/>
  <c r="D18" i="1"/>
  <c r="G15" i="1" l="1"/>
  <c r="E15" i="1" l="1"/>
  <c r="E11" i="1" l="1"/>
  <c r="G11" i="1" l="1"/>
  <c r="F21" i="1" l="1"/>
  <c r="F23" i="1" s="1"/>
  <c r="D21" i="1"/>
  <c r="G19" i="1"/>
  <c r="E19" i="1" l="1"/>
  <c r="G10" i="1" l="1"/>
  <c r="E10" i="1" l="1"/>
  <c r="E9" i="1"/>
  <c r="C21" i="1" l="1"/>
  <c r="D23" i="1"/>
  <c r="E18" i="1" l="1"/>
  <c r="E21" i="1"/>
  <c r="G21" i="1"/>
  <c r="G6" i="1"/>
  <c r="G7" i="1"/>
  <c r="G9" i="1"/>
  <c r="G12" i="1"/>
  <c r="G14" i="1"/>
  <c r="G20" i="1"/>
  <c r="G22" i="1"/>
  <c r="G4" i="1"/>
  <c r="E6" i="1"/>
  <c r="E7" i="1"/>
  <c r="E12" i="1"/>
  <c r="E14" i="1"/>
  <c r="E20" i="1"/>
  <c r="E22" i="1"/>
  <c r="E4" i="1"/>
  <c r="C23" i="1" l="1"/>
  <c r="E23" i="1" s="1"/>
  <c r="G18" i="1"/>
  <c r="G23" i="1" l="1"/>
</calcChain>
</file>

<file path=xl/sharedStrings.xml><?xml version="1.0" encoding="utf-8"?>
<sst xmlns="http://schemas.openxmlformats.org/spreadsheetml/2006/main" count="27" uniqueCount="26">
  <si>
    <t>S. No.</t>
  </si>
  <si>
    <t>Agency</t>
  </si>
  <si>
    <t>Total No. of Complaints Received</t>
  </si>
  <si>
    <t>Total No. of Complaints Resolved(% Resolved)</t>
  </si>
  <si>
    <t>Total No. of Complaints Not Resolved(% Not Resolved)</t>
  </si>
  <si>
    <t>Delhi Jal Board</t>
  </si>
  <si>
    <t>Sub Total</t>
  </si>
  <si>
    <t>Grand Total</t>
  </si>
  <si>
    <t>Municipal Corporation of Delhi</t>
  </si>
  <si>
    <t>Delhi Pollution Control Committee</t>
  </si>
  <si>
    <t>Public Works Department</t>
  </si>
  <si>
    <t>Delhi State Industrial and Infrastructure Development Corporation</t>
  </si>
  <si>
    <t>Delhi Metro Rail Corporation</t>
  </si>
  <si>
    <t>Delhi Development Authority</t>
  </si>
  <si>
    <t>Irrigation and Flood Control Department</t>
  </si>
  <si>
    <t>Delhi Cantonment Board</t>
  </si>
  <si>
    <t>Delhi Transport Department</t>
  </si>
  <si>
    <t>New Delhi Municipal Council</t>
  </si>
  <si>
    <t>Traffic Police Department</t>
  </si>
  <si>
    <t>Delhi Transport Infrastructure 
Development Corporation Limited</t>
  </si>
  <si>
    <t>Indraprastha Gas Ltd</t>
  </si>
  <si>
    <t>Delhi Police Department</t>
  </si>
  <si>
    <t>Tata Power Delhi Distribution Ltd.</t>
  </si>
  <si>
    <t>Revenue Department</t>
  </si>
  <si>
    <t>BSES Delhi (BRPL &amp; BYPL)</t>
  </si>
  <si>
    <t>Social Media Agency-wise Data (01st Jan 2025 - 10th September 2026) in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</si>
</sst>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0"/>
      <color rgb="FF222222"/>
      <name val="Roboto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tabSelected="1" zoomScale="90" zoomScaleNormal="90" workbookViewId="0">
      <selection activeCell="B27" sqref="B27"/>
    </sheetView>
  </sheetViews>
  <sheetFormatPr defaultColWidth="6.7109375" defaultRowHeight="15"/>
  <cols>
    <col min="1" max="1" width="6.7109375" style="1"/>
    <col min="2" max="2" width="39.7109375" style="1" customWidth="1"/>
    <col min="3" max="3" width="21" style="1" customWidth="1"/>
    <col min="4" max="4" width="11" style="1" customWidth="1"/>
    <col min="5" max="5" width="11.28515625" style="1" customWidth="1"/>
    <col min="6" max="6" width="13.5703125" style="1" customWidth="1"/>
    <col min="7" max="7" width="12" style="1" customWidth="1"/>
    <col min="8" max="16384" width="6.7109375" style="1"/>
  </cols>
  <sheetData>
    <row r="1" spans="1:7" ht="21" customHeight="1">
      <c r="A1" s="16" t="s">
        <v>25</v>
      </c>
      <c r="B1" s="16"/>
      <c r="C1" s="16"/>
      <c r="D1" s="16"/>
      <c r="E1" s="16"/>
      <c r="F1" s="16"/>
      <c r="G1" s="16"/>
    </row>
    <row r="2" spans="1:7" ht="45" customHeight="1">
      <c r="A2" s="14" t="s">
        <v>0</v>
      </c>
      <c r="B2" s="14" t="s">
        <v>1</v>
      </c>
      <c r="C2" s="14" t="s">
        <v>2</v>
      </c>
      <c r="D2" s="15" t="s">
        <v>3</v>
      </c>
      <c r="E2" s="15"/>
      <c r="F2" s="17" t="s">
        <v>4</v>
      </c>
      <c r="G2" s="17"/>
    </row>
    <row r="3" spans="1:7">
      <c r="A3" s="5">
        <v>1</v>
      </c>
      <c r="B3" s="5" t="s">
        <v>9</v>
      </c>
      <c r="C3" s="6">
        <v>38</v>
      </c>
      <c r="D3" s="9">
        <v>35</v>
      </c>
      <c r="E3" s="7" t="str">
        <f>"("&amp;ROUND((D3/C3*100),0)&amp;"%)"</f>
        <v>(92%)</v>
      </c>
      <c r="F3" s="12">
        <v>3</v>
      </c>
      <c r="G3" s="11" t="str">
        <f>"("&amp;ROUND((F3/C3*100),0)&amp;"%)"</f>
        <v>(8%)</v>
      </c>
    </row>
    <row r="4" spans="1:7" ht="25.5">
      <c r="A4" s="5">
        <v>2</v>
      </c>
      <c r="B4" s="5" t="s">
        <v>11</v>
      </c>
      <c r="C4" s="6">
        <v>15</v>
      </c>
      <c r="D4" s="9">
        <v>8</v>
      </c>
      <c r="E4" s="7" t="str">
        <f>"("&amp;ROUND((D4/C4*100),0)&amp;"%)"</f>
        <v>(53%)</v>
      </c>
      <c r="F4" s="12">
        <v>7</v>
      </c>
      <c r="G4" s="11" t="str">
        <f>"("&amp;ROUND((F4/C4*100),0)&amp;"%)"</f>
        <v>(47%)</v>
      </c>
    </row>
    <row r="5" spans="1:7" ht="25.5">
      <c r="A5" s="5">
        <v>3</v>
      </c>
      <c r="B5" s="10" t="s">
        <v>19</v>
      </c>
      <c r="C5" s="6">
        <f t="shared" ref="C5:C13" si="0">SUM(D5,F5)</f>
        <v>0</v>
      </c>
      <c r="D5" s="9">
        <v>0</v>
      </c>
      <c r="E5" s="7">
        <v>0</v>
      </c>
      <c r="F5" s="12">
        <v>0</v>
      </c>
      <c r="G5" s="11">
        <v>0</v>
      </c>
    </row>
    <row r="6" spans="1:7">
      <c r="A6" s="5">
        <v>4</v>
      </c>
      <c r="B6" s="5" t="s">
        <v>12</v>
      </c>
      <c r="C6" s="6">
        <v>38</v>
      </c>
      <c r="D6" s="9">
        <v>31</v>
      </c>
      <c r="E6" s="7" t="str">
        <f t="shared" ref="E6:E23" si="1">"("&amp;ROUND((D6/C6*100),0)&amp;"%)"</f>
        <v>(82%)</v>
      </c>
      <c r="F6" s="12">
        <v>7</v>
      </c>
      <c r="G6" s="11" t="str">
        <f t="shared" ref="G6:G23" si="2">"("&amp;ROUND((F6/C6*100),0)&amp;"%)"</f>
        <v>(18%)</v>
      </c>
    </row>
    <row r="7" spans="1:7">
      <c r="A7" s="5">
        <v>5</v>
      </c>
      <c r="B7" s="5" t="s">
        <v>13</v>
      </c>
      <c r="C7" s="6">
        <v>120</v>
      </c>
      <c r="D7" s="9">
        <v>74</v>
      </c>
      <c r="E7" s="7" t="str">
        <f t="shared" si="1"/>
        <v>(62%)</v>
      </c>
      <c r="F7" s="12">
        <v>46</v>
      </c>
      <c r="G7" s="11" t="str">
        <f t="shared" si="2"/>
        <v>(38%)</v>
      </c>
    </row>
    <row r="8" spans="1:7">
      <c r="A8" s="5">
        <v>6</v>
      </c>
      <c r="B8" s="5" t="s">
        <v>15</v>
      </c>
      <c r="C8" s="6">
        <f t="shared" si="0"/>
        <v>0</v>
      </c>
      <c r="D8" s="9">
        <v>0</v>
      </c>
      <c r="E8" s="7">
        <v>0</v>
      </c>
      <c r="F8" s="12">
        <v>0</v>
      </c>
      <c r="G8" s="11">
        <v>0</v>
      </c>
    </row>
    <row r="9" spans="1:7">
      <c r="A9" s="5">
        <v>7</v>
      </c>
      <c r="B9" s="5" t="s">
        <v>5</v>
      </c>
      <c r="C9" s="6">
        <v>261</v>
      </c>
      <c r="D9" s="9">
        <v>97</v>
      </c>
      <c r="E9" s="7" t="str">
        <f t="shared" si="1"/>
        <v>(37%)</v>
      </c>
      <c r="F9" s="12">
        <v>164</v>
      </c>
      <c r="G9" s="11" t="str">
        <f t="shared" si="2"/>
        <v>(63%)</v>
      </c>
    </row>
    <row r="10" spans="1:7">
      <c r="A10" s="5">
        <v>8</v>
      </c>
      <c r="B10" s="5" t="s">
        <v>16</v>
      </c>
      <c r="C10" s="6">
        <v>166</v>
      </c>
      <c r="D10" s="9">
        <v>165</v>
      </c>
      <c r="E10" s="7" t="str">
        <f>"("&amp;ROUND((D10/C10*100),0)&amp;"%)"</f>
        <v>(99%)</v>
      </c>
      <c r="F10" s="12">
        <v>1</v>
      </c>
      <c r="G10" s="11" t="str">
        <f>"("&amp;ROUND((F10/C10*100),0)&amp;"%)"</f>
        <v>(1%)</v>
      </c>
    </row>
    <row r="11" spans="1:7">
      <c r="A11" s="5">
        <v>9</v>
      </c>
      <c r="B11" s="5" t="s">
        <v>21</v>
      </c>
      <c r="C11" s="6">
        <f>SUM(D11,F11)</f>
        <v>25</v>
      </c>
      <c r="D11" s="9">
        <v>3</v>
      </c>
      <c r="E11" s="7" t="str">
        <f>"("&amp;ROUND((D11/C11*100),0)&amp;"%)"</f>
        <v>(12%)</v>
      </c>
      <c r="F11" s="12">
        <v>22</v>
      </c>
      <c r="G11" s="11" t="str">
        <f>"("&amp;ROUND((F11/C11*100),0)&amp;"%)"</f>
        <v>(88%)</v>
      </c>
    </row>
    <row r="12" spans="1:7">
      <c r="A12" s="5">
        <v>10</v>
      </c>
      <c r="B12" s="5" t="s">
        <v>14</v>
      </c>
      <c r="C12" s="6">
        <v>126</v>
      </c>
      <c r="D12" s="9">
        <v>115</v>
      </c>
      <c r="E12" s="7" t="str">
        <f t="shared" si="1"/>
        <v>(91%)</v>
      </c>
      <c r="F12" s="12">
        <v>11</v>
      </c>
      <c r="G12" s="11" t="str">
        <f t="shared" si="2"/>
        <v>(9%)</v>
      </c>
    </row>
    <row r="13" spans="1:7">
      <c r="A13" s="5">
        <v>11</v>
      </c>
      <c r="B13" s="10" t="s">
        <v>20</v>
      </c>
      <c r="C13" s="6">
        <f t="shared" si="0"/>
        <v>2</v>
      </c>
      <c r="D13" s="9">
        <v>2</v>
      </c>
      <c r="E13" s="7" t="str">
        <f t="shared" si="1"/>
        <v>(100%)</v>
      </c>
      <c r="F13" s="12">
        <v>0</v>
      </c>
      <c r="G13" s="11" t="str">
        <f t="shared" si="2"/>
        <v>(0%)</v>
      </c>
    </row>
    <row r="14" spans="1:7">
      <c r="A14" s="5">
        <v>12</v>
      </c>
      <c r="B14" s="10" t="s">
        <v>10</v>
      </c>
      <c r="C14" s="6">
        <v>404</v>
      </c>
      <c r="D14" s="8">
        <v>375</v>
      </c>
      <c r="E14" s="7" t="str">
        <f t="shared" si="1"/>
        <v>(93%)</v>
      </c>
      <c r="F14" s="13">
        <v>29</v>
      </c>
      <c r="G14" s="11" t="str">
        <f t="shared" si="2"/>
        <v>(7%)</v>
      </c>
    </row>
    <row r="15" spans="1:7">
      <c r="A15" s="5">
        <v>13</v>
      </c>
      <c r="B15" s="10" t="s">
        <v>24</v>
      </c>
      <c r="C15" s="6">
        <v>2</v>
      </c>
      <c r="D15" s="8">
        <v>2</v>
      </c>
      <c r="E15" s="7" t="str">
        <f t="shared" si="1"/>
        <v>(100%)</v>
      </c>
      <c r="F15" s="13">
        <v>0</v>
      </c>
      <c r="G15" s="11" t="str">
        <f t="shared" si="2"/>
        <v>(0%)</v>
      </c>
    </row>
    <row r="16" spans="1:7">
      <c r="A16" s="5">
        <v>14</v>
      </c>
      <c r="B16" s="10" t="s">
        <v>22</v>
      </c>
      <c r="C16" s="6">
        <f>SUM(D16,F16)</f>
        <v>0</v>
      </c>
      <c r="D16" s="8">
        <v>0</v>
      </c>
      <c r="E16" s="7">
        <v>0</v>
      </c>
      <c r="F16" s="13">
        <v>0</v>
      </c>
      <c r="G16" s="11">
        <v>0</v>
      </c>
    </row>
    <row r="17" spans="1:7">
      <c r="A17" s="5">
        <v>15</v>
      </c>
      <c r="B17" s="10" t="s">
        <v>23</v>
      </c>
      <c r="C17" s="6">
        <f>SUM(D17,F17)</f>
        <v>9</v>
      </c>
      <c r="D17" s="8">
        <v>9</v>
      </c>
      <c r="E17" s="7" t="str">
        <f t="shared" si="1"/>
        <v>(100%)</v>
      </c>
      <c r="F17" s="13">
        <v>0</v>
      </c>
      <c r="G17" s="11" t="str">
        <f t="shared" si="2"/>
        <v>(0%)</v>
      </c>
    </row>
    <row r="18" spans="1:7">
      <c r="A18" s="2"/>
      <c r="B18" s="2" t="s">
        <v>6</v>
      </c>
      <c r="C18" s="2">
        <f>SUM(D18,F18)</f>
        <v>1206</v>
      </c>
      <c r="D18" s="3">
        <f>SUM(D3:D17)</f>
        <v>916</v>
      </c>
      <c r="E18" s="4" t="str">
        <f t="shared" si="1"/>
        <v>(76%)</v>
      </c>
      <c r="F18" s="3">
        <f>SUM(F3:F17)</f>
        <v>290</v>
      </c>
      <c r="G18" s="4" t="str">
        <f t="shared" si="2"/>
        <v>(24%)</v>
      </c>
    </row>
    <row r="19" spans="1:7">
      <c r="A19" s="5">
        <v>16</v>
      </c>
      <c r="B19" s="5" t="s">
        <v>8</v>
      </c>
      <c r="C19" s="6">
        <v>1463</v>
      </c>
      <c r="D19" s="8">
        <v>1278</v>
      </c>
      <c r="E19" s="7" t="str">
        <f t="shared" si="1"/>
        <v>(87%)</v>
      </c>
      <c r="F19" s="13">
        <v>185</v>
      </c>
      <c r="G19" s="11" t="str">
        <f t="shared" si="2"/>
        <v>(13%)</v>
      </c>
    </row>
    <row r="20" spans="1:7">
      <c r="A20" s="5">
        <v>17</v>
      </c>
      <c r="B20" s="5" t="s">
        <v>17</v>
      </c>
      <c r="C20" s="6">
        <v>12</v>
      </c>
      <c r="D20" s="8">
        <v>10</v>
      </c>
      <c r="E20" s="7" t="str">
        <f t="shared" si="1"/>
        <v>(83%)</v>
      </c>
      <c r="F20" s="13">
        <v>2</v>
      </c>
      <c r="G20" s="11" t="str">
        <f t="shared" si="2"/>
        <v>(17%)</v>
      </c>
    </row>
    <row r="21" spans="1:7">
      <c r="A21" s="2"/>
      <c r="B21" s="2" t="s">
        <v>6</v>
      </c>
      <c r="C21" s="2">
        <f t="shared" ref="C21:C23" si="3">SUM(D21,F21)</f>
        <v>1475</v>
      </c>
      <c r="D21" s="3">
        <f>SUM(D19:D20)</f>
        <v>1288</v>
      </c>
      <c r="E21" s="4" t="str">
        <f t="shared" si="1"/>
        <v>(87%)</v>
      </c>
      <c r="F21" s="3">
        <f>SUM(F19:F20)</f>
        <v>187</v>
      </c>
      <c r="G21" s="4" t="str">
        <f t="shared" si="2"/>
        <v>(13%)</v>
      </c>
    </row>
    <row r="22" spans="1:7">
      <c r="A22" s="5">
        <v>18</v>
      </c>
      <c r="B22" s="5" t="s">
        <v>18</v>
      </c>
      <c r="C22" s="6">
        <v>39</v>
      </c>
      <c r="D22" s="6">
        <v>25</v>
      </c>
      <c r="E22" s="7" t="str">
        <f t="shared" si="1"/>
        <v>(64%)</v>
      </c>
      <c r="F22" s="13">
        <v>14</v>
      </c>
      <c r="G22" s="11" t="str">
        <f t="shared" si="2"/>
        <v>(36%)</v>
      </c>
    </row>
    <row r="23" spans="1:7" ht="25.5" customHeight="1">
      <c r="A23" s="2"/>
      <c r="B23" s="2" t="s">
        <v>7</v>
      </c>
      <c r="C23" s="2">
        <f t="shared" si="3"/>
        <v>2720</v>
      </c>
      <c r="D23" s="2">
        <f>SUM(D18,D21,D22)</f>
        <v>2229</v>
      </c>
      <c r="E23" s="4" t="str">
        <f t="shared" si="1"/>
        <v>(82%)</v>
      </c>
      <c r="F23" s="3">
        <f>SUM(F18,F21,F22)</f>
        <v>491</v>
      </c>
      <c r="G23" s="4" t="str">
        <f t="shared" si="2"/>
        <v>(18%)</v>
      </c>
    </row>
  </sheetData>
  <mergeCells count="3">
    <mergeCell ref="D2:E2"/>
    <mergeCell ref="A1:G1"/>
    <mergeCell ref="F2:G2"/>
  </mergeCells>
  <pageMargins left="0.7" right="0.7" top="0.75" bottom="0.75" header="0.3" footer="0.3"/>
  <pageSetup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2026-09-14T11:51:26Z</dcterms:modified>
</cp:coreProperties>
</file>