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665" windowHeight="12150" tabRatio="600" firstSheet="0" activeTab="0" autoFilterDateGrouping="1"/>
  </bookViews>
  <sheets>
    <sheet xmlns:r="http://schemas.openxmlformats.org/officeDocument/2006/relationships" name="CAQM_Category-wis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Roboto"/>
      <b val="1"/>
      <color rgb="FF222222"/>
      <sz val="11"/>
    </font>
    <font>
      <name val="Arial"/>
      <family val="2"/>
      <color theme="1"/>
      <sz val="10"/>
      <scheme val="minor"/>
    </font>
    <font>
      <name val="Arial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7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1014"/>
  <sheetViews>
    <sheetView tabSelected="1" workbookViewId="0">
      <selection activeCell="D6" sqref="D6"/>
    </sheetView>
  </sheetViews>
  <sheetFormatPr baseColWidth="8" defaultColWidth="12.5703125" defaultRowHeight="15.75" customHeight="1"/>
  <cols>
    <col width="6.42578125" customWidth="1" style="18" min="1" max="1"/>
    <col width="12.42578125" customWidth="1" style="18" min="2" max="2"/>
    <col width="31" customWidth="1" style="18" min="3" max="3"/>
    <col width="25.28515625" customWidth="1" style="18" min="4" max="4"/>
    <col width="20.85546875" customWidth="1" style="18" min="5" max="5"/>
    <col width="19.42578125" customWidth="1" style="18" min="6" max="6"/>
  </cols>
  <sheetData>
    <row r="1" ht="35.25" customHeight="1" s="18">
      <c r="A1" s="22" t="inlineStr">
        <is>
          <t>Social Media Category-wise Data of CAQM Tagged Complaints (04th Oct 2024 - 13th October 2026)</t>
        </is>
      </c>
      <c r="B1" s="23" t="n"/>
      <c r="C1" s="23" t="n"/>
      <c r="D1" s="23" t="n"/>
      <c r="E1" s="23" t="n"/>
      <c r="F1" s="20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 s="18">
      <c r="A2" s="2" t="inlineStr">
        <is>
          <t>S.No.</t>
        </is>
      </c>
      <c r="B2" s="2" t="inlineStr">
        <is>
          <t>State</t>
        </is>
      </c>
      <c r="C2" s="2" t="inlineStr">
        <is>
          <t>Category</t>
        </is>
      </c>
      <c r="D2" s="3" t="inlineStr">
        <is>
          <t>Complaints Received</t>
        </is>
      </c>
      <c r="E2" s="4" t="inlineStr">
        <is>
          <t>Pending Complaints</t>
        </is>
      </c>
      <c r="F2" s="5" t="inlineStr">
        <is>
          <t>Resolved Complaints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18">
      <c r="A3" s="6" t="n">
        <v>1</v>
      </c>
      <c r="B3" s="24" t="inlineStr">
        <is>
          <t>Delhi</t>
        </is>
      </c>
      <c r="C3" s="7" t="inlineStr">
        <is>
          <t>Air Pollution due to Fire Crackers</t>
        </is>
      </c>
      <c r="D3" s="8" t="n">
        <v>2</v>
      </c>
      <c r="E3" s="9" t="n">
        <v>1</v>
      </c>
      <c r="F3" s="10" t="n">
        <v>1</v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18">
      <c r="A4" s="6" t="n">
        <v>2</v>
      </c>
      <c r="B4" s="25" t="n"/>
      <c r="C4" s="11" t="inlineStr">
        <is>
          <t>Air Pollution from Generator</t>
        </is>
      </c>
      <c r="D4" s="8" t="n">
        <v>16</v>
      </c>
      <c r="E4" s="9" t="n">
        <v>1</v>
      </c>
      <c r="F4" s="10" t="n">
        <v>15</v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18">
      <c r="A5" s="6" t="n">
        <v>3</v>
      </c>
      <c r="B5" s="25" t="n"/>
      <c r="C5" s="11" t="inlineStr">
        <is>
          <t>C&amp;D Activity</t>
        </is>
      </c>
      <c r="D5" s="8" t="n">
        <v>190</v>
      </c>
      <c r="E5" s="9" t="n">
        <v>14</v>
      </c>
      <c r="F5" s="10" t="n">
        <v>176</v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18">
      <c r="A6" s="6" t="n">
        <v>4</v>
      </c>
      <c r="B6" s="25" t="n"/>
      <c r="C6" s="11" t="inlineStr">
        <is>
          <t>Industrial Emission</t>
        </is>
      </c>
      <c r="D6" s="8" t="n">
        <v>34</v>
      </c>
      <c r="E6" s="9" t="n">
        <v>14</v>
      </c>
      <c r="F6" s="10" t="n">
        <v>20</v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18">
      <c r="A7" s="6" t="n">
        <v>5</v>
      </c>
      <c r="B7" s="25" t="n"/>
      <c r="C7" s="7" t="inlineStr">
        <is>
          <t>Industrial Waste Dumping</t>
        </is>
      </c>
      <c r="D7" s="8" t="n">
        <v>1</v>
      </c>
      <c r="E7" s="9" t="n">
        <v>0</v>
      </c>
      <c r="F7" s="10" t="n">
        <v>1</v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18">
      <c r="A8" s="6" t="n">
        <v>6</v>
      </c>
      <c r="B8" s="25" t="n"/>
      <c r="C8" s="11" t="inlineStr">
        <is>
          <t>Leaf Burning</t>
        </is>
      </c>
      <c r="D8" s="8" t="n">
        <v>13</v>
      </c>
      <c r="E8" s="9" t="n">
        <v>1</v>
      </c>
      <c r="F8" s="10" t="n">
        <v>12</v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18">
      <c r="A9" s="6" t="n">
        <v>7</v>
      </c>
      <c r="B9" s="25" t="n"/>
      <c r="C9" s="11" t="inlineStr">
        <is>
          <t>Open Burning of Garbage</t>
        </is>
      </c>
      <c r="D9" s="8" t="n">
        <v>302</v>
      </c>
      <c r="E9" s="9" t="n">
        <v>13</v>
      </c>
      <c r="F9" s="10" t="n">
        <v>289</v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18">
      <c r="A10" s="6" t="n">
        <v>8</v>
      </c>
      <c r="B10" s="25" t="n"/>
      <c r="C10" s="11" t="inlineStr">
        <is>
          <t>Open Dumping of Garbage</t>
        </is>
      </c>
      <c r="D10" s="8" t="n">
        <v>1005</v>
      </c>
      <c r="E10" s="9" t="n">
        <v>100</v>
      </c>
      <c r="F10" s="10" t="n">
        <v>905</v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18">
      <c r="A11" s="6" t="n">
        <v>9</v>
      </c>
      <c r="B11" s="25" t="n"/>
      <c r="C11" s="11" t="inlineStr">
        <is>
          <t>Others</t>
        </is>
      </c>
      <c r="D11" s="8" t="n">
        <v>48</v>
      </c>
      <c r="E11" s="9" t="n">
        <v>3</v>
      </c>
      <c r="F11" s="10" t="n">
        <v>45</v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18">
      <c r="A12" s="6" t="n">
        <v>10</v>
      </c>
      <c r="B12" s="25" t="n"/>
      <c r="C12" s="11" t="inlineStr">
        <is>
          <t>Pollution from illegal Industry</t>
        </is>
      </c>
      <c r="D12" s="8" t="n">
        <v>39</v>
      </c>
      <c r="E12" s="9" t="n">
        <v>5</v>
      </c>
      <c r="F12" s="10" t="n">
        <v>34</v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18">
      <c r="A13" s="6" t="n">
        <v>11</v>
      </c>
      <c r="B13" s="25" t="n"/>
      <c r="C13" s="11" t="inlineStr">
        <is>
          <t>Road Dust</t>
        </is>
      </c>
      <c r="D13" s="8" t="n">
        <v>387</v>
      </c>
      <c r="E13" s="9" t="n">
        <v>49</v>
      </c>
      <c r="F13" s="10" t="n">
        <v>338</v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18">
      <c r="A14" s="6" t="n">
        <v>12</v>
      </c>
      <c r="B14" s="25" t="n"/>
      <c r="C14" s="11" t="inlineStr">
        <is>
          <t>Sewer Overflow</t>
        </is>
      </c>
      <c r="D14" s="8" t="n">
        <v>1</v>
      </c>
      <c r="E14" s="9" t="n">
        <v>0</v>
      </c>
      <c r="F14" s="10" t="n">
        <v>1</v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18">
      <c r="A15" s="6" t="n">
        <v>13</v>
      </c>
      <c r="B15" s="25" t="n"/>
      <c r="C15" s="7" t="inlineStr">
        <is>
          <t>Stubble Burning</t>
        </is>
      </c>
      <c r="D15" s="8" t="n">
        <v>2</v>
      </c>
      <c r="E15" s="9" t="n">
        <v>0</v>
      </c>
      <c r="F15" s="10" t="n">
        <v>2</v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18">
      <c r="A16" s="6" t="n">
        <v>14</v>
      </c>
      <c r="B16" s="25" t="n"/>
      <c r="C16" s="11" t="inlineStr">
        <is>
          <t>Traffic Congestion</t>
        </is>
      </c>
      <c r="D16" s="8" t="n">
        <v>32</v>
      </c>
      <c r="E16" s="9" t="n">
        <v>8</v>
      </c>
      <c r="F16" s="10" t="n">
        <v>24</v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18">
      <c r="A17" s="6" t="n">
        <v>15</v>
      </c>
      <c r="B17" s="25" t="n"/>
      <c r="C17" s="11" t="inlineStr">
        <is>
          <t>Unpaved Road/Pit</t>
        </is>
      </c>
      <c r="D17" s="8" t="n">
        <v>880</v>
      </c>
      <c r="E17" s="9" t="n">
        <v>110</v>
      </c>
      <c r="F17" s="10" t="n">
        <v>770</v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18">
      <c r="A18" s="6" t="n">
        <v>16</v>
      </c>
      <c r="B18" s="26" t="n"/>
      <c r="C18" s="11" t="inlineStr">
        <is>
          <t>Visible Vehicular Emission</t>
        </is>
      </c>
      <c r="D18" s="8" t="n">
        <v>217</v>
      </c>
      <c r="E18" s="9" t="n">
        <v>3</v>
      </c>
      <c r="F18" s="10" t="n">
        <v>214</v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18">
      <c r="A19" s="6" t="n">
        <v>17</v>
      </c>
      <c r="B19" s="19" t="inlineStr">
        <is>
          <t>Delhi Total</t>
        </is>
      </c>
      <c r="C19" s="20" t="n"/>
      <c r="D19" s="19">
        <f>SUM(D3:D18)</f>
        <v/>
      </c>
      <c r="E19" s="19">
        <f>SUM(E3:E18)</f>
        <v/>
      </c>
      <c r="F19" s="19">
        <f>SUM(F3:F18)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18">
      <c r="A20" s="6" t="n">
        <v>18</v>
      </c>
      <c r="B20" s="24" t="inlineStr">
        <is>
          <t>Haryana</t>
        </is>
      </c>
      <c r="C20" s="7" t="inlineStr">
        <is>
          <t>Air Pollution due to Fire Crackers</t>
        </is>
      </c>
      <c r="D20" s="8" t="n">
        <v>1</v>
      </c>
      <c r="E20" s="9" t="n">
        <v>1</v>
      </c>
      <c r="F20" s="10" t="n">
        <v>0</v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18">
      <c r="A21" s="6" t="n">
        <v>19</v>
      </c>
      <c r="B21" s="25" t="n"/>
      <c r="C21" s="11" t="inlineStr">
        <is>
          <t>Air Pollution from Generator</t>
        </is>
      </c>
      <c r="D21" s="8" t="n">
        <v>6</v>
      </c>
      <c r="E21" s="9" t="n">
        <v>5</v>
      </c>
      <c r="F21" s="10" t="n">
        <v>1</v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18">
      <c r="A22" s="6" t="n">
        <v>20</v>
      </c>
      <c r="B22" s="25" t="n"/>
      <c r="C22" s="11" t="inlineStr">
        <is>
          <t>C&amp;D Activity</t>
        </is>
      </c>
      <c r="D22" s="8" t="n">
        <v>101</v>
      </c>
      <c r="E22" s="9" t="n">
        <v>28</v>
      </c>
      <c r="F22" s="10" t="n">
        <v>73</v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18">
      <c r="A23" s="6" t="n">
        <v>21</v>
      </c>
      <c r="B23" s="25" t="n"/>
      <c r="C23" s="11" t="inlineStr">
        <is>
          <t>Industrial Emission</t>
        </is>
      </c>
      <c r="D23" s="8" t="n">
        <v>109</v>
      </c>
      <c r="E23" s="9" t="n">
        <v>54</v>
      </c>
      <c r="F23" s="10" t="n">
        <v>55</v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18">
      <c r="A24" s="6" t="n">
        <v>22</v>
      </c>
      <c r="B24" s="25" t="n"/>
      <c r="C24" s="7" t="inlineStr">
        <is>
          <t>Industrial Waste Dumping</t>
        </is>
      </c>
      <c r="D24" s="8" t="n">
        <v>2</v>
      </c>
      <c r="E24" s="9" t="n">
        <v>1</v>
      </c>
      <c r="F24" s="10" t="n">
        <v>1</v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18">
      <c r="A25" s="6" t="n">
        <v>23</v>
      </c>
      <c r="B25" s="25" t="n"/>
      <c r="C25" s="11" t="inlineStr">
        <is>
          <t>Leaf Burning</t>
        </is>
      </c>
      <c r="D25" s="8" t="n">
        <v>11</v>
      </c>
      <c r="E25" s="9" t="n">
        <v>3</v>
      </c>
      <c r="F25" s="10" t="n">
        <v>8</v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18">
      <c r="A26" s="6" t="n">
        <v>24</v>
      </c>
      <c r="B26" s="25" t="n"/>
      <c r="C26" s="11" t="inlineStr">
        <is>
          <t>Open Burning of Garbage</t>
        </is>
      </c>
      <c r="D26" s="8" t="n">
        <v>301</v>
      </c>
      <c r="E26" s="9" t="n">
        <v>127</v>
      </c>
      <c r="F26" s="10" t="n">
        <v>174</v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18">
      <c r="A27" s="6" t="n">
        <v>25</v>
      </c>
      <c r="B27" s="25" t="n"/>
      <c r="C27" s="11" t="inlineStr">
        <is>
          <t>Open Dumping of Garbage</t>
        </is>
      </c>
      <c r="D27" s="8" t="n">
        <v>775</v>
      </c>
      <c r="E27" s="9" t="n">
        <v>218</v>
      </c>
      <c r="F27" s="10" t="n">
        <v>557</v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18">
      <c r="A28" s="6" t="n">
        <v>26</v>
      </c>
      <c r="B28" s="25" t="n"/>
      <c r="C28" s="11" t="inlineStr">
        <is>
          <t>Others</t>
        </is>
      </c>
      <c r="D28" s="8" t="n">
        <v>21</v>
      </c>
      <c r="E28" s="9" t="n">
        <v>8</v>
      </c>
      <c r="F28" s="10" t="n">
        <v>13</v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18">
      <c r="A29" s="6" t="n">
        <v>27</v>
      </c>
      <c r="B29" s="25" t="n"/>
      <c r="C29" s="11" t="inlineStr">
        <is>
          <t>Pollution from illegal Industry</t>
        </is>
      </c>
      <c r="D29" s="8" t="n">
        <v>28</v>
      </c>
      <c r="E29" s="9" t="n">
        <v>12</v>
      </c>
      <c r="F29" s="10" t="n">
        <v>16</v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18">
      <c r="A30" s="6" t="n">
        <v>28</v>
      </c>
      <c r="B30" s="25" t="n"/>
      <c r="C30" s="11" t="inlineStr">
        <is>
          <t>Road Dust</t>
        </is>
      </c>
      <c r="D30" s="8" t="n">
        <v>468</v>
      </c>
      <c r="E30" s="9" t="n">
        <v>209</v>
      </c>
      <c r="F30" s="10" t="n">
        <v>259</v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18">
      <c r="A31" s="6" t="n">
        <v>29</v>
      </c>
      <c r="B31" s="25" t="n"/>
      <c r="C31" s="11" t="inlineStr">
        <is>
          <t>Stubble Burning</t>
        </is>
      </c>
      <c r="D31" s="8" t="n">
        <v>7</v>
      </c>
      <c r="E31" s="9" t="n">
        <v>5</v>
      </c>
      <c r="F31" s="10" t="n">
        <v>2</v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18">
      <c r="A32" s="6" t="n">
        <v>30</v>
      </c>
      <c r="B32" s="25" t="n"/>
      <c r="C32" s="11" t="inlineStr">
        <is>
          <t>Unpaved Road/Pit</t>
        </is>
      </c>
      <c r="D32" s="8" t="n">
        <v>169</v>
      </c>
      <c r="E32" s="9" t="n">
        <v>119</v>
      </c>
      <c r="F32" s="10" t="n">
        <v>50</v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18">
      <c r="A33" s="6" t="n">
        <v>31</v>
      </c>
      <c r="B33" s="26" t="n"/>
      <c r="C33" s="11" t="inlineStr">
        <is>
          <t>Visible Vehicular Emission</t>
        </is>
      </c>
      <c r="D33" s="8" t="n">
        <v>7</v>
      </c>
      <c r="E33" s="9" t="n">
        <v>2</v>
      </c>
      <c r="F33" s="10" t="n">
        <v>5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18">
      <c r="A34" s="6" t="n">
        <v>32</v>
      </c>
      <c r="B34" s="19" t="inlineStr">
        <is>
          <t>Haryana Total</t>
        </is>
      </c>
      <c r="C34" s="20" t="n"/>
      <c r="D34" s="19">
        <f>SUM(D20:D33)</f>
        <v/>
      </c>
      <c r="E34" s="19">
        <f>SUM(E20:E33)</f>
        <v/>
      </c>
      <c r="F34" s="19">
        <f>SUM(F20:F33)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18">
      <c r="A35" s="6" t="n">
        <v>33</v>
      </c>
      <c r="B35" s="24" t="inlineStr">
        <is>
          <t>Rajasthan</t>
        </is>
      </c>
      <c r="C35" s="11" t="inlineStr">
        <is>
          <t>C&amp;D Activity</t>
        </is>
      </c>
      <c r="D35" s="8" t="n">
        <v>2</v>
      </c>
      <c r="E35" s="9" t="n">
        <v>2</v>
      </c>
      <c r="F35" s="13" t="n">
        <v>0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18">
      <c r="A36" s="6" t="n">
        <v>34</v>
      </c>
      <c r="B36" s="25" t="n"/>
      <c r="C36" s="11" t="inlineStr">
        <is>
          <t>Industrial Emission</t>
        </is>
      </c>
      <c r="D36" s="8" t="n">
        <v>3</v>
      </c>
      <c r="E36" s="9" t="n">
        <v>1</v>
      </c>
      <c r="F36" s="13" t="n">
        <v>2</v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18">
      <c r="A37" s="6" t="n">
        <v>35</v>
      </c>
      <c r="B37" s="25" t="n"/>
      <c r="C37" s="11" t="inlineStr">
        <is>
          <t>Open Burning of Garbage</t>
        </is>
      </c>
      <c r="D37" s="8" t="n">
        <v>3</v>
      </c>
      <c r="E37" s="9" t="n">
        <v>1</v>
      </c>
      <c r="F37" s="13" t="n">
        <v>2</v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18">
      <c r="A38" s="6" t="n">
        <v>36</v>
      </c>
      <c r="B38" s="25" t="n"/>
      <c r="C38" s="11" t="inlineStr">
        <is>
          <t>Road Dust</t>
        </is>
      </c>
      <c r="D38" s="8" t="n">
        <v>1</v>
      </c>
      <c r="E38" s="9" t="n">
        <v>1</v>
      </c>
      <c r="F38" s="13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18">
      <c r="A39" s="6" t="n">
        <v>37</v>
      </c>
      <c r="B39" s="26" t="n"/>
      <c r="C39" s="11" t="inlineStr">
        <is>
          <t>Open Dumping of Garbage</t>
        </is>
      </c>
      <c r="D39" s="8" t="n">
        <v>1</v>
      </c>
      <c r="E39" s="9" t="n">
        <v>0</v>
      </c>
      <c r="F39" s="13" t="n">
        <v>1</v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18">
      <c r="A40" s="6" t="n">
        <v>38</v>
      </c>
      <c r="B40" s="19" t="inlineStr">
        <is>
          <t>Rajasthan Total</t>
        </is>
      </c>
      <c r="C40" s="20" t="n"/>
      <c r="D40" s="19">
        <f>SUM(D35:D39)</f>
        <v/>
      </c>
      <c r="E40" s="19">
        <f>SUM(E35:E39)</f>
        <v/>
      </c>
      <c r="F40" s="19">
        <f>SUM(F35:F39)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18">
      <c r="A41" s="6" t="n">
        <v>39</v>
      </c>
      <c r="B41" s="24" t="inlineStr">
        <is>
          <t>Uttar Pradesh</t>
        </is>
      </c>
      <c r="C41" s="7" t="inlineStr">
        <is>
          <t>Air Pollution due to Fire Crackers</t>
        </is>
      </c>
      <c r="D41" s="8" t="n">
        <v>1</v>
      </c>
      <c r="E41" s="9" t="n">
        <v>1</v>
      </c>
      <c r="F41" s="13" t="n">
        <v>0</v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18">
      <c r="A42" s="6" t="n">
        <v>40</v>
      </c>
      <c r="B42" s="25" t="n"/>
      <c r="C42" s="11" t="inlineStr">
        <is>
          <t>Air Pollution from Generator</t>
        </is>
      </c>
      <c r="D42" s="8" t="n">
        <v>45</v>
      </c>
      <c r="E42" s="9" t="n">
        <v>10</v>
      </c>
      <c r="F42" s="13" t="n">
        <v>35</v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18">
      <c r="A43" s="6" t="n">
        <v>41</v>
      </c>
      <c r="B43" s="25" t="n"/>
      <c r="C43" s="11" t="inlineStr">
        <is>
          <t>C&amp;D Activity</t>
        </is>
      </c>
      <c r="D43" s="8" t="n">
        <v>144</v>
      </c>
      <c r="E43" s="9" t="n">
        <v>69</v>
      </c>
      <c r="F43" s="13" t="n">
        <v>75</v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18">
      <c r="A44" s="6" t="n">
        <v>42</v>
      </c>
      <c r="B44" s="25" t="n"/>
      <c r="C44" s="11" t="inlineStr">
        <is>
          <t>Industrial Emission</t>
        </is>
      </c>
      <c r="D44" s="8" t="n">
        <v>298</v>
      </c>
      <c r="E44" s="9" t="n">
        <v>70</v>
      </c>
      <c r="F44" s="13" t="n">
        <v>228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18">
      <c r="A45" s="6" t="n">
        <v>43</v>
      </c>
      <c r="B45" s="25" t="n"/>
      <c r="C45" s="11" t="inlineStr">
        <is>
          <t>Leaf Burning</t>
        </is>
      </c>
      <c r="D45" s="8" t="n">
        <v>9</v>
      </c>
      <c r="E45" s="9" t="n">
        <v>0</v>
      </c>
      <c r="F45" s="13" t="n">
        <v>9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18">
      <c r="A46" s="6" t="n">
        <v>44</v>
      </c>
      <c r="B46" s="25" t="n"/>
      <c r="C46" s="11" t="inlineStr">
        <is>
          <t>Open Burning of Garbage</t>
        </is>
      </c>
      <c r="D46" s="8" t="n">
        <v>302</v>
      </c>
      <c r="E46" s="9" t="n">
        <v>122</v>
      </c>
      <c r="F46" s="13" t="n">
        <v>180</v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18">
      <c r="A47" s="6" t="n">
        <v>45</v>
      </c>
      <c r="B47" s="25" t="n"/>
      <c r="C47" s="11" t="inlineStr">
        <is>
          <t>Open Dumping of Garbage</t>
        </is>
      </c>
      <c r="D47" s="8" t="n">
        <v>550</v>
      </c>
      <c r="E47" s="9" t="n">
        <v>198</v>
      </c>
      <c r="F47" s="13" t="n">
        <v>352</v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18">
      <c r="A48" s="6" t="n">
        <v>46</v>
      </c>
      <c r="B48" s="25" t="n"/>
      <c r="C48" s="11" t="inlineStr">
        <is>
          <t>Others</t>
        </is>
      </c>
      <c r="D48" s="8" t="n">
        <v>31</v>
      </c>
      <c r="E48" s="9" t="n">
        <v>10</v>
      </c>
      <c r="F48" s="13" t="n">
        <v>21</v>
      </c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18">
      <c r="A49" s="6" t="n">
        <v>47</v>
      </c>
      <c r="B49" s="25" t="n"/>
      <c r="C49" s="11" t="inlineStr">
        <is>
          <t>Pollution from illegal Industry</t>
        </is>
      </c>
      <c r="D49" s="8" t="n">
        <v>12</v>
      </c>
      <c r="E49" s="9" t="n">
        <v>5</v>
      </c>
      <c r="F49" s="13" t="n">
        <v>7</v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18">
      <c r="A50" s="6" t="n">
        <v>48</v>
      </c>
      <c r="B50" s="25" t="n"/>
      <c r="C50" s="11" t="inlineStr">
        <is>
          <t>Road Dust</t>
        </is>
      </c>
      <c r="D50" s="8" t="n">
        <v>573</v>
      </c>
      <c r="E50" s="9" t="n">
        <v>211</v>
      </c>
      <c r="F50" s="13" t="n">
        <v>362</v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18">
      <c r="A51" s="6" t="n">
        <v>49</v>
      </c>
      <c r="B51" s="25" t="n"/>
      <c r="C51" s="7" t="inlineStr">
        <is>
          <t>Stubble Burning</t>
        </is>
      </c>
      <c r="D51" s="8" t="n">
        <v>7</v>
      </c>
      <c r="E51" s="9" t="n">
        <v>5</v>
      </c>
      <c r="F51" s="13" t="n">
        <v>2</v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18">
      <c r="A52" s="6" t="n">
        <v>50</v>
      </c>
      <c r="B52" s="25" t="n"/>
      <c r="C52" s="7" t="inlineStr">
        <is>
          <t>Traffic Congestion</t>
        </is>
      </c>
      <c r="D52" s="8" t="n">
        <v>3</v>
      </c>
      <c r="E52" s="9" t="n">
        <v>0</v>
      </c>
      <c r="F52" s="13" t="n">
        <v>3</v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18">
      <c r="A53" s="6" t="n">
        <v>51</v>
      </c>
      <c r="B53" s="25" t="n"/>
      <c r="C53" s="11" t="inlineStr">
        <is>
          <t>Unpaved Road/Pit</t>
        </is>
      </c>
      <c r="D53" s="8" t="n">
        <v>258</v>
      </c>
      <c r="E53" s="9" t="n">
        <v>144</v>
      </c>
      <c r="F53" s="13" t="n">
        <v>114</v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18">
      <c r="A54" s="6" t="n">
        <v>52</v>
      </c>
      <c r="B54" s="26" t="n"/>
      <c r="C54" s="11" t="inlineStr">
        <is>
          <t>Visible Vehicular Emission</t>
        </is>
      </c>
      <c r="D54" s="8" t="n">
        <v>9</v>
      </c>
      <c r="E54" s="9" t="n">
        <v>3</v>
      </c>
      <c r="F54" s="13" t="n">
        <v>6</v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 s="18">
      <c r="A55" s="14" t="n"/>
      <c r="B55" s="19" t="inlineStr">
        <is>
          <t>Uttar Pradesh Total</t>
        </is>
      </c>
      <c r="C55" s="20" t="n"/>
      <c r="D55" s="19">
        <f>SUM(D41:D54)</f>
        <v/>
      </c>
      <c r="E55" s="19">
        <f>SUM(E41:E54)</f>
        <v/>
      </c>
      <c r="F55" s="19">
        <f>SUM(F41:F54)</f>
        <v/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1.5" customHeight="1" s="18">
      <c r="A56" s="15" t="n"/>
      <c r="B56" s="21" t="inlineStr">
        <is>
          <t>Grand Total</t>
        </is>
      </c>
      <c r="C56" s="20" t="n"/>
      <c r="D56" s="21">
        <f>SUM(D19,D34,D40,D55)</f>
        <v/>
      </c>
      <c r="E56" s="21">
        <f>SUM(E19,E34,E40,E55)</f>
        <v/>
      </c>
      <c r="F56" s="21">
        <f>SUM(F19,F34,F40,F55)</f>
        <v/>
      </c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2.75" customHeight="1" s="1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.75" customHeight="1" s="1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.75" customHeight="1" s="1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.75" customHeight="1" s="1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.75" customHeight="1" s="1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.75" customHeight="1" s="1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.75" customHeight="1" s="1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.75" customHeight="1" s="1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.75" customHeight="1" s="1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2.75" customHeight="1" s="1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.75" customHeight="1" s="1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2.75" customHeight="1" s="1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.75" customHeight="1" s="1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2.75" customHeight="1" s="1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.75" customHeight="1" s="1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2.75" customHeight="1" s="1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2.75" customHeight="1" s="1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2.75" customHeight="1" s="1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2.75" customHeight="1" s="1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2.75" customHeight="1" s="1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2.75" customHeight="1" s="1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2.75" customHeight="1" s="1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.75" customHeight="1" s="1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.75" customHeight="1" s="1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.75" customHeight="1" s="1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.75" customHeight="1" s="1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.75" customHeight="1" s="1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2.75" customHeight="1" s="1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2.75" customHeight="1" s="1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2.75" customHeight="1" s="1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2.75" customHeight="1" s="1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2.75" customHeight="1" s="1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2.75" customHeight="1" s="18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 ht="12.75" customHeight="1" s="18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  <row r="1003" ht="12.75" customHeight="1" s="18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</row>
    <row r="1004" ht="12.75" customHeight="1" s="18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</row>
    <row r="1005" ht="12.75" customHeight="1" s="18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</row>
    <row r="1006" ht="12.75" customHeight="1" s="18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</row>
    <row r="1007" ht="12.75" customHeight="1" s="18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</row>
    <row r="1008" ht="12.75" customHeight="1" s="1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</row>
    <row r="1009" ht="12.75" customHeight="1" s="18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</row>
    <row r="1010" ht="12.75" customHeight="1" s="18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</row>
    <row r="1011" ht="12.75" customHeight="1" s="18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</row>
    <row r="1012" ht="12.75" customHeight="1" s="18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</row>
    <row r="1013" ht="12.75" customHeight="1" s="18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</row>
    <row r="1014" ht="12.75" customHeight="1" s="18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</row>
  </sheetData>
  <mergeCells count="10">
    <mergeCell ref="B55:C55"/>
    <mergeCell ref="B19:C19"/>
    <mergeCell ref="A1:F1"/>
    <mergeCell ref="B34:C34"/>
    <mergeCell ref="B3:B18"/>
    <mergeCell ref="B41:B54"/>
    <mergeCell ref="B40:C40"/>
    <mergeCell ref="B56:C56"/>
    <mergeCell ref="B20:B33"/>
    <mergeCell ref="B35:B39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2026-10-14T12:14:43Z</dcterms:created>
  <dcterms:modified xmlns:dcterms="http://purl.org/dc/terms/" xmlns:xsi="http://www.w3.org/2001/XMLSchema-instance" xsi:type="dcterms:W3CDTF">2026-10-22T10:38:55Z</dcterms:modified>
  <cp:lastModifiedBy>HP</cp:lastModifiedBy>
</cp:coreProperties>
</file>