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170" windowHeight="606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9" i="1" l="1"/>
  <c r="C5" i="1"/>
  <c r="F15" i="1" l="1"/>
  <c r="G13" i="1" l="1"/>
  <c r="E13" i="1" l="1"/>
  <c r="E4" i="1"/>
  <c r="E5" i="1"/>
  <c r="C6" i="1"/>
  <c r="E6" i="1" s="1"/>
  <c r="G7" i="1"/>
  <c r="E8" i="1"/>
  <c r="G5" i="1" l="1"/>
  <c r="G4" i="1"/>
  <c r="E7" i="1"/>
  <c r="G8" i="1"/>
  <c r="G6" i="1"/>
  <c r="D15" i="1"/>
  <c r="C15" i="1" l="1"/>
  <c r="E15" i="1" s="1"/>
  <c r="G3" i="1"/>
  <c r="G9" i="1"/>
  <c r="G10" i="1"/>
  <c r="G11" i="1"/>
  <c r="G12" i="1"/>
  <c r="G14" i="1"/>
  <c r="E3" i="1"/>
  <c r="E9" i="1"/>
  <c r="E10" i="1"/>
  <c r="E11" i="1"/>
  <c r="E12" i="1"/>
  <c r="E14" i="1"/>
  <c r="G15" i="1" l="1"/>
</calcChain>
</file>

<file path=xl/sharedStrings.xml><?xml version="1.0" encoding="utf-8"?>
<sst xmlns="http://schemas.openxmlformats.org/spreadsheetml/2006/main" count="19" uniqueCount="19">
  <si>
    <t>S. No.</t>
  </si>
  <si>
    <t>Agency</t>
  </si>
  <si>
    <t>Total No. of Complaints Received</t>
  </si>
  <si>
    <t>Total No. of Complaints Resolved(% Resolved)</t>
  </si>
  <si>
    <t>Total No. of Complaints Not Resolved(% Not Resolved)</t>
  </si>
  <si>
    <t>Greater Noida Authority</t>
  </si>
  <si>
    <t>Noida Authority</t>
  </si>
  <si>
    <t>Total</t>
  </si>
  <si>
    <t>UPPCB - RO Ghaziabad</t>
  </si>
  <si>
    <t>Municipal Corporation Ghaziabad</t>
  </si>
  <si>
    <t>UPPCB - RO Greater Noida</t>
  </si>
  <si>
    <t>UPPCB - RO Noida</t>
  </si>
  <si>
    <t>Meerut Nagar Nigam</t>
  </si>
  <si>
    <t>Nagar Palika Parishad Hapur</t>
  </si>
  <si>
    <t>Nagar Palika Parishad Loni</t>
  </si>
  <si>
    <t>Noida Traffic Police</t>
  </si>
  <si>
    <t>UPPCB</t>
  </si>
  <si>
    <t>Ghaziabad Development Authority</t>
  </si>
  <si>
    <t>Social Media Agency-wise Data (01st Jan 2025 -   10th September 2026) in U.P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</si>
</sst>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rgb="FF222222"/>
      <name val="Robo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topLeftCell="C1" workbookViewId="0">
      <selection activeCell="E21" sqref="E20:E21"/>
    </sheetView>
  </sheetViews>
  <sheetFormatPr defaultColWidth="6.7109375" defaultRowHeight="15"/>
  <cols>
    <col min="1" max="1" width="6.7109375" style="1"/>
    <col min="2" max="2" width="35.28515625" style="1" customWidth="1"/>
    <col min="3" max="3" width="21" style="1" customWidth="1"/>
    <col min="4" max="4" width="11" style="1" customWidth="1"/>
    <col min="5" max="5" width="11.28515625" style="1" customWidth="1"/>
    <col min="6" max="6" width="13.5703125" style="1" customWidth="1"/>
    <col min="7" max="7" width="12" style="1" customWidth="1"/>
    <col min="8" max="16384" width="6.7109375" style="1"/>
  </cols>
  <sheetData>
    <row r="1" spans="1:7" ht="21" customHeight="1">
      <c r="A1" s="15" t="s">
        <v>18</v>
      </c>
      <c r="B1" s="15"/>
      <c r="C1" s="15"/>
      <c r="D1" s="15"/>
      <c r="E1" s="15"/>
      <c r="F1" s="15"/>
      <c r="G1" s="15"/>
    </row>
    <row r="2" spans="1:7" ht="45" customHeight="1">
      <c r="A2" s="13" t="s">
        <v>0</v>
      </c>
      <c r="B2" s="13" t="s">
        <v>1</v>
      </c>
      <c r="C2" s="13" t="s">
        <v>2</v>
      </c>
      <c r="D2" s="14" t="s">
        <v>3</v>
      </c>
      <c r="E2" s="14"/>
      <c r="F2" s="16" t="s">
        <v>4</v>
      </c>
      <c r="G2" s="16"/>
    </row>
    <row r="3" spans="1:7">
      <c r="A3" s="6">
        <v>1</v>
      </c>
      <c r="B3" s="10" t="s">
        <v>5</v>
      </c>
      <c r="C3" s="7">
        <v>385</v>
      </c>
      <c r="D3" s="9">
        <v>347</v>
      </c>
      <c r="E3" s="8" t="str">
        <f t="shared" ref="E3:E15" si="0">"("&amp;ROUND((D3/C3*100),0)&amp;"%)"</f>
        <v>(90%)</v>
      </c>
      <c r="F3" s="12">
        <v>38</v>
      </c>
      <c r="G3" s="11" t="str">
        <f t="shared" ref="G3:G15" si="1">"("&amp;ROUND((F3/C3*100),0)&amp;"%)"</f>
        <v>(10%)</v>
      </c>
    </row>
    <row r="4" spans="1:7">
      <c r="A4" s="6">
        <v>2</v>
      </c>
      <c r="B4" s="10" t="s">
        <v>9</v>
      </c>
      <c r="C4" s="7">
        <v>73</v>
      </c>
      <c r="D4" s="9">
        <v>38</v>
      </c>
      <c r="E4" s="8" t="str">
        <f t="shared" si="0"/>
        <v>(52%)</v>
      </c>
      <c r="F4" s="12">
        <v>35</v>
      </c>
      <c r="G4" s="11" t="str">
        <f t="shared" si="1"/>
        <v>(48%)</v>
      </c>
    </row>
    <row r="5" spans="1:7">
      <c r="A5" s="6">
        <v>3</v>
      </c>
      <c r="B5" s="10" t="s">
        <v>12</v>
      </c>
      <c r="C5" s="7">
        <f t="shared" ref="C5" si="2">SUM(D5,F5)</f>
        <v>34</v>
      </c>
      <c r="D5" s="9">
        <v>1</v>
      </c>
      <c r="E5" s="8" t="str">
        <f t="shared" si="0"/>
        <v>(3%)</v>
      </c>
      <c r="F5" s="12">
        <v>33</v>
      </c>
      <c r="G5" s="11" t="str">
        <f t="shared" si="1"/>
        <v>(97%)</v>
      </c>
    </row>
    <row r="6" spans="1:7">
      <c r="A6" s="6">
        <v>4</v>
      </c>
      <c r="B6" s="10" t="s">
        <v>13</v>
      </c>
      <c r="C6" s="7">
        <f t="shared" ref="C6:C9" si="3">SUM(D6,F6)</f>
        <v>2</v>
      </c>
      <c r="D6" s="9">
        <v>1</v>
      </c>
      <c r="E6" s="8" t="str">
        <f t="shared" si="0"/>
        <v>(50%)</v>
      </c>
      <c r="F6" s="12">
        <v>1</v>
      </c>
      <c r="G6" s="11" t="str">
        <f t="shared" si="1"/>
        <v>(50%)</v>
      </c>
    </row>
    <row r="7" spans="1:7">
      <c r="A7" s="6">
        <v>5</v>
      </c>
      <c r="B7" s="10" t="s">
        <v>14</v>
      </c>
      <c r="C7" s="7">
        <f>SUM(D7,F7)</f>
        <v>37</v>
      </c>
      <c r="D7" s="9">
        <v>2</v>
      </c>
      <c r="E7" s="8" t="str">
        <f t="shared" si="0"/>
        <v>(5%)</v>
      </c>
      <c r="F7" s="12">
        <v>35</v>
      </c>
      <c r="G7" s="11" t="str">
        <f t="shared" si="1"/>
        <v>(95%)</v>
      </c>
    </row>
    <row r="8" spans="1:7">
      <c r="A8" s="6">
        <v>6</v>
      </c>
      <c r="B8" s="10" t="s">
        <v>6</v>
      </c>
      <c r="C8" s="7">
        <v>971</v>
      </c>
      <c r="D8" s="9">
        <v>392</v>
      </c>
      <c r="E8" s="8" t="str">
        <f t="shared" si="0"/>
        <v>(40%)</v>
      </c>
      <c r="F8" s="12">
        <v>579</v>
      </c>
      <c r="G8" s="11" t="str">
        <f t="shared" si="1"/>
        <v>(60%)</v>
      </c>
    </row>
    <row r="9" spans="1:7">
      <c r="A9" s="6">
        <v>7</v>
      </c>
      <c r="B9" s="10" t="s">
        <v>15</v>
      </c>
      <c r="C9" s="7">
        <f t="shared" si="3"/>
        <v>7</v>
      </c>
      <c r="D9" s="9">
        <v>5</v>
      </c>
      <c r="E9" s="8" t="str">
        <f t="shared" si="0"/>
        <v>(71%)</v>
      </c>
      <c r="F9" s="12">
        <v>2</v>
      </c>
      <c r="G9" s="11" t="str">
        <f t="shared" si="1"/>
        <v>(29%)</v>
      </c>
    </row>
    <row r="10" spans="1:7">
      <c r="A10" s="6">
        <v>8</v>
      </c>
      <c r="B10" s="10" t="s">
        <v>8</v>
      </c>
      <c r="C10" s="7">
        <v>139</v>
      </c>
      <c r="D10" s="9">
        <v>109</v>
      </c>
      <c r="E10" s="8" t="str">
        <f t="shared" si="0"/>
        <v>(78%)</v>
      </c>
      <c r="F10" s="12">
        <v>30</v>
      </c>
      <c r="G10" s="11" t="str">
        <f t="shared" si="1"/>
        <v>(22%)</v>
      </c>
    </row>
    <row r="11" spans="1:7">
      <c r="A11" s="6">
        <v>9</v>
      </c>
      <c r="B11" s="10" t="s">
        <v>10</v>
      </c>
      <c r="C11" s="7">
        <v>85</v>
      </c>
      <c r="D11" s="9">
        <v>62</v>
      </c>
      <c r="E11" s="8" t="str">
        <f t="shared" si="0"/>
        <v>(73%)</v>
      </c>
      <c r="F11" s="12">
        <v>23</v>
      </c>
      <c r="G11" s="11" t="str">
        <f t="shared" si="1"/>
        <v>(27%)</v>
      </c>
    </row>
    <row r="12" spans="1:7">
      <c r="A12" s="6">
        <v>10</v>
      </c>
      <c r="B12" s="10" t="s">
        <v>11</v>
      </c>
      <c r="C12" s="7">
        <v>40</v>
      </c>
      <c r="D12" s="9">
        <v>19</v>
      </c>
      <c r="E12" s="8" t="str">
        <f t="shared" si="0"/>
        <v>(48%)</v>
      </c>
      <c r="F12" s="12">
        <v>21</v>
      </c>
      <c r="G12" s="11" t="str">
        <f t="shared" si="1"/>
        <v>(53%)</v>
      </c>
    </row>
    <row r="13" spans="1:7">
      <c r="A13" s="6">
        <v>11</v>
      </c>
      <c r="B13" s="10" t="s">
        <v>17</v>
      </c>
      <c r="C13" s="7">
        <v>16</v>
      </c>
      <c r="D13" s="9">
        <v>11</v>
      </c>
      <c r="E13" s="8" t="str">
        <f t="shared" si="0"/>
        <v>(69%)</v>
      </c>
      <c r="F13" s="12">
        <v>5</v>
      </c>
      <c r="G13" s="11" t="str">
        <f t="shared" si="1"/>
        <v>(31%)</v>
      </c>
    </row>
    <row r="14" spans="1:7">
      <c r="A14" s="6">
        <v>12</v>
      </c>
      <c r="B14" s="10" t="s">
        <v>16</v>
      </c>
      <c r="C14" s="7">
        <v>122</v>
      </c>
      <c r="D14" s="9">
        <v>47</v>
      </c>
      <c r="E14" s="8" t="str">
        <f t="shared" si="0"/>
        <v>(39%)</v>
      </c>
      <c r="F14" s="12">
        <v>75</v>
      </c>
      <c r="G14" s="11" t="str">
        <f t="shared" si="1"/>
        <v>(61%)</v>
      </c>
    </row>
    <row r="15" spans="1:7" ht="25.5" customHeight="1">
      <c r="A15" s="3"/>
      <c r="B15" s="2" t="s">
        <v>7</v>
      </c>
      <c r="C15" s="3">
        <f t="shared" ref="C15" si="4">SUM(D15,F15)</f>
        <v>1911</v>
      </c>
      <c r="D15" s="2">
        <f>SUM(D3:D14)</f>
        <v>1034</v>
      </c>
      <c r="E15" s="4" t="str">
        <f t="shared" si="0"/>
        <v>(54%)</v>
      </c>
      <c r="F15" s="5">
        <f>SUM(F3:F14)</f>
        <v>877</v>
      </c>
      <c r="G15" s="4" t="str">
        <f t="shared" si="1"/>
        <v>(46%)</v>
      </c>
    </row>
    <row r="26" spans="4:4">
      <c r="D26" s="1">
        <v>0</v>
      </c>
    </row>
  </sheetData>
  <mergeCells count="3">
    <mergeCell ref="D2:E2"/>
    <mergeCell ref="A1:G1"/>
    <mergeCell ref="F2:G2"/>
  </mergeCells>
  <pageMargins left="0.7" right="0.7" top="0.75" bottom="0.75" header="0.3" footer="0.3"/>
  <pageSetup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2026-09-14T11:52:50Z</dcterms:modified>
</cp:coreProperties>
</file>