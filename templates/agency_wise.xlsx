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QM_Agency-wise" sheetId="1" r:id="rId5"/>
  </sheets>
  <definedNames/>
  <calcPr/>
</workbook>
</file>

<file path=xl/sharedStrings.xml><?xml version="1.0" encoding="utf-8"?>
<sst xmlns="http://schemas.openxmlformats.org/spreadsheetml/2006/main" count="111" uniqueCount="67">
  <si>
    <t>Social Media Agency-wise Data of CAQM Tagged Complaints (04th Oct 2024 - 16th September 2026)</t>
  </si>
  <si>
    <t>Resolution-Pendency analysis</t>
  </si>
  <si>
    <t>S.No.</t>
  </si>
  <si>
    <t>State</t>
  </si>
  <si>
    <t>Agency</t>
  </si>
  <si>
    <t>Complaints Received</t>
  </si>
  <si>
    <t>Pending Complaints</t>
  </si>
  <si>
    <t>Resolved Complaints</t>
  </si>
  <si>
    <t>Whether Agency is Tagging CAQM</t>
  </si>
  <si>
    <t>Average Resolution Period 
(Days)</t>
  </si>
  <si>
    <t>Average Pendency Period 
(Days)</t>
  </si>
  <si>
    <t>Delhi</t>
  </si>
  <si>
    <t>BSES Delhi (BRPL &amp; BYPL)</t>
  </si>
  <si>
    <t>No</t>
  </si>
  <si>
    <t>N/A</t>
  </si>
  <si>
    <t>Delhi Jal Board</t>
  </si>
  <si>
    <t>Yes</t>
  </si>
  <si>
    <t>Public Works Department</t>
  </si>
  <si>
    <t>Delhi Police Department</t>
  </si>
  <si>
    <t>Delhi Pollution Control Committee</t>
  </si>
  <si>
    <t>Delhi State Industrial and Infrastructure Development Corporation</t>
  </si>
  <si>
    <t>Traffic Police Department</t>
  </si>
  <si>
    <t>Revenue Department</t>
  </si>
  <si>
    <t>Irrigation and Flood Control Department</t>
  </si>
  <si>
    <t>Indraprastha Gas Ltd</t>
  </si>
  <si>
    <t>Municipal Corporation of Delhi</t>
  </si>
  <si>
    <t>Delhi Development Authority</t>
  </si>
  <si>
    <t>Delhi Metro Rail Corporation</t>
  </si>
  <si>
    <t>Delhi Transport Department</t>
  </si>
  <si>
    <t>Tata Power Delhi Distribution Ltd.</t>
  </si>
  <si>
    <t>No Complaint Received</t>
  </si>
  <si>
    <t>New Delhi Municipal Council</t>
  </si>
  <si>
    <t>Delhi Total</t>
  </si>
  <si>
    <t>Haryana</t>
  </si>
  <si>
    <t>HSPCB - RO Ballabhgarh</t>
  </si>
  <si>
    <t>RO - Bahadurgarh</t>
  </si>
  <si>
    <t>HSPCB - RO Faridabad</t>
  </si>
  <si>
    <t>Haryana SPCB</t>
  </si>
  <si>
    <t>RO - Gurugram North</t>
  </si>
  <si>
    <t>RO - Panipat</t>
  </si>
  <si>
    <t>RO - Gurugram South</t>
  </si>
  <si>
    <t>Municipal Corporation Faridabad</t>
  </si>
  <si>
    <t>Municipal Corporation Gurugram</t>
  </si>
  <si>
    <t>Gurugram Metropolitan Development Authority</t>
  </si>
  <si>
    <t>Traffic Police Gurugram</t>
  </si>
  <si>
    <t>Directorate of Urban Local Bodies, Haryana</t>
  </si>
  <si>
    <t>Haryana Total</t>
  </si>
  <si>
    <t>Rajasthan</t>
  </si>
  <si>
    <t>Rajasthan SPCB</t>
  </si>
  <si>
    <t>Rajasthan Total</t>
  </si>
  <si>
    <t>Uttar Pradesh</t>
  </si>
  <si>
    <t>Municipal Corporation Ghaziabad</t>
  </si>
  <si>
    <t>Ghaziabad Development Authority</t>
  </si>
  <si>
    <t>Nagar Palika Parishad Hapur</t>
  </si>
  <si>
    <t>Meerut Nagar Nigam</t>
  </si>
  <si>
    <t>Noida Authority</t>
  </si>
  <si>
    <t>Noida Traffic Police</t>
  </si>
  <si>
    <t>Nagar Palika Parishad Loni</t>
  </si>
  <si>
    <t>Greater Noida Authority</t>
  </si>
  <si>
    <t>UPPCB - RO Noida</t>
  </si>
  <si>
    <t>UPPCB - RO Ghaziabad</t>
  </si>
  <si>
    <t>UPPCB - RO Greater Noida</t>
  </si>
  <si>
    <t>UPPCB</t>
  </si>
  <si>
    <t>Uttar Pradesh Total</t>
  </si>
  <si>
    <t>National Highways Authority of India</t>
  </si>
  <si>
    <t>Northern Railway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</si>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</sst>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2.0"/>
      <color rgb="FF222222"/>
      <name val="Roboto"/>
    </font>
    <font/>
    <font>
      <color theme="1"/>
      <name val="Arial"/>
      <scheme val="minor"/>
    </font>
    <font>
      <b/>
      <sz val="11.0"/>
      <color theme="1"/>
      <name val="Arial"/>
    </font>
    <font>
      <b/>
      <sz val="11.0"/>
      <color rgb="FF000000"/>
      <name val="Arial"/>
    </font>
    <font>
      <sz val="11.0"/>
      <color theme="1"/>
      <name val="Calibri"/>
    </font>
    <font>
      <b/>
      <color theme="1"/>
      <name val="Arial"/>
    </font>
    <font>
      <color rgb="FF000000"/>
      <name val="Arial"/>
    </font>
    <font>
      <color theme="1"/>
      <name val="Arial"/>
    </font>
    <font>
      <b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000000"/>
      <name val="Arial"/>
    </font>
    <font>
      <sz val="11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readingOrder="0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1" fillId="5" fontId="4" numFmtId="0" xfId="0" applyAlignment="1" applyBorder="1" applyFill="1" applyFont="1">
      <alignment horizontal="center" readingOrder="0" shrinkToFit="0" vertical="center" wrapText="1"/>
    </xf>
    <xf borderId="4" fillId="6" fontId="4" numFmtId="0" xfId="0" applyAlignment="1" applyBorder="1" applyFill="1" applyFont="1">
      <alignment horizontal="center" readingOrder="0" shrinkToFit="0" vertical="center" wrapText="1"/>
    </xf>
    <xf borderId="4" fillId="5" fontId="5" numFmtId="0" xfId="0" applyAlignment="1" applyBorder="1" applyFill="1" applyFont="1">
      <alignment horizontal="center" readingOrder="0" shrinkToFit="0" vertical="center" wrapText="1"/>
    </xf>
    <xf borderId="4" fillId="4" fontId="5" numFmtId="0" xfId="0" applyAlignment="1" applyBorder="1" applyFill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readingOrder="0" vertical="center"/>
    </xf>
    <xf borderId="4" fillId="3" fontId="9" numFmtId="0" xfId="0" applyAlignment="1" applyBorder="1" applyFill="1" applyFont="1">
      <alignment horizontal="center" readingOrder="0" shrinkToFit="0" vertical="center" wrapText="1"/>
    </xf>
    <xf borderId="4" fillId="4" fontId="9" numFmtId="0" xfId="0" applyAlignment="1" applyBorder="1" applyFill="1" applyFont="1">
      <alignment horizontal="center" readingOrder="0" shrinkToFit="0" vertical="center" wrapText="1"/>
    </xf>
    <xf borderId="4" fillId="4" fontId="9" numFmtId="9" xfId="0" applyAlignment="1" applyBorder="1" applyFill="1" applyFont="1" applyNumberFormat="1">
      <alignment horizontal="center" shrinkToFit="0" vertical="center" wrapText="1"/>
    </xf>
    <xf borderId="4" fillId="5" fontId="9" numFmtId="0" xfId="0" applyAlignment="1" applyBorder="1" applyFill="1" applyFont="1">
      <alignment horizontal="center" readingOrder="0" shrinkToFit="0" vertical="center" wrapText="1"/>
    </xf>
    <xf borderId="4" fillId="5" fontId="9" numFmtId="9" xfId="0" applyAlignment="1" applyBorder="1" applyFill="1" applyFont="1" applyNumberFormat="1">
      <alignment horizontal="center" shrinkToFit="0" vertical="center" wrapText="1"/>
    </xf>
    <xf borderId="4" fillId="6" fontId="6" numFmtId="0" xfId="0" applyAlignment="1" applyBorder="1" applyFill="1" applyFont="1">
      <alignment horizontal="center" readingOrder="0" shrinkToFit="0" vertical="center" wrapText="1"/>
    </xf>
    <xf borderId="4" fillId="5" fontId="9" numFmtId="1" xfId="0" applyAlignment="1" applyBorder="1" applyFill="1" applyFont="1" applyNumberFormat="1">
      <alignment horizontal="center" readingOrder="0" vertical="center"/>
    </xf>
    <xf borderId="4" fillId="4" fontId="9" numFmtId="1" xfId="0" applyAlignment="1" applyBorder="1" applyFill="1" applyFont="1" applyNumberFormat="1">
      <alignment horizontal="center" readingOrder="0" vertical="center"/>
    </xf>
    <xf borderId="6" fillId="0" fontId="2" numFmtId="0" xfId="0" applyBorder="1" applyFont="1"/>
    <xf borderId="4" fillId="0" fontId="9" numFmtId="0" xfId="0" applyAlignment="1" applyBorder="1" applyFont="1">
      <alignment horizontal="center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4" fillId="4" fontId="9" numFmtId="0" xfId="0" applyAlignment="1" applyBorder="1" applyFill="1" applyFont="1">
      <alignment horizontal="center" readingOrder="0" vertical="center"/>
    </xf>
    <xf borderId="4" fillId="5" fontId="9" numFmtId="0" xfId="0" applyAlignment="1" applyBorder="1" applyFill="1" applyFont="1">
      <alignment horizontal="center" readingOrder="0" vertical="center"/>
    </xf>
    <xf borderId="4" fillId="4" fontId="9" numFmtId="9" xfId="0" applyAlignment="1" applyBorder="1" applyFill="1" applyFont="1" applyNumberFormat="1">
      <alignment horizontal="center" readingOrder="0" shrinkToFit="0" vertical="center" wrapText="1"/>
    </xf>
    <xf borderId="4" fillId="5" fontId="9" numFmtId="9" xfId="0" applyAlignment="1" applyBorder="1" applyFill="1" applyFont="1" applyNumberFormat="1">
      <alignment horizontal="center" readingOrder="0" shrinkToFit="0" vertical="center" wrapText="1"/>
    </xf>
    <xf borderId="7" fillId="0" fontId="2" numFmtId="0" xfId="0" applyBorder="1" applyFont="1"/>
    <xf borderId="4" fillId="0" fontId="8" numFmtId="0" xfId="0" applyAlignment="1" applyBorder="1" applyFont="1">
      <alignment horizontal="center" vertical="center"/>
    </xf>
    <xf borderId="4" fillId="2" fontId="9" numFmtId="0" xfId="0" applyAlignment="1" applyBorder="1" applyFill="1" applyFont="1">
      <alignment horizontal="center" shrinkToFit="0" vertical="center" wrapText="1"/>
    </xf>
    <xf borderId="1" fillId="2" fontId="7" numFmtId="0" xfId="0" applyAlignment="1" applyBorder="1" applyFill="1" applyFont="1">
      <alignment horizontal="center" shrinkToFit="0" vertical="center" wrapText="1"/>
    </xf>
    <xf borderId="4" fillId="2" fontId="7" numFmtId="0" xfId="0" applyAlignment="1" applyBorder="1" applyFill="1" applyFont="1">
      <alignment horizontal="center" shrinkToFit="0" vertical="center" wrapText="1"/>
    </xf>
    <xf borderId="4" fillId="2" fontId="10" numFmtId="0" xfId="0" applyAlignment="1" applyBorder="1" applyFill="1" applyFont="1">
      <alignment horizontal="center" readingOrder="0" shrinkToFit="0" vertical="center" wrapText="1"/>
    </xf>
    <xf borderId="4" fillId="3" fontId="9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4" fillId="2" fontId="7" numFmtId="0" xfId="0" applyAlignment="1" applyBorder="1" applyFill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5" fontId="8" numFmtId="0" xfId="0" applyAlignment="1" applyBorder="1" applyFill="1" applyFont="1">
      <alignment horizontal="center" readingOrder="0" shrinkToFit="0" vertical="center" wrapText="1"/>
    </xf>
    <xf borderId="4" fillId="4" fontId="8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4" fillId="5" fontId="9" numFmtId="1" xfId="0" applyAlignment="1" applyBorder="1" applyFill="1" applyFont="1" applyNumberFormat="1">
      <alignment horizontal="center" vertical="center"/>
    </xf>
    <xf borderId="1" fillId="7" fontId="11" numFmtId="0" xfId="0" applyAlignment="1" applyBorder="1" applyFill="1" applyFont="1">
      <alignment horizontal="center" shrinkToFit="0" vertical="center" wrapText="1"/>
    </xf>
    <xf borderId="4" fillId="7" fontId="11" numFmtId="0" xfId="0" applyAlignment="1" applyBorder="1" applyFill="1" applyFont="1">
      <alignment horizontal="center" shrinkToFit="0" vertical="center" wrapText="1"/>
    </xf>
    <xf borderId="4" fillId="7" fontId="12" numFmtId="0" xfId="0" applyAlignment="1" applyBorder="1" applyFill="1" applyFont="1">
      <alignment horizontal="center" shrinkToFit="0" vertical="center" wrapText="1"/>
    </xf>
    <xf borderId="4" fillId="7" fontId="13" numFmtId="0" xfId="0" applyAlignment="1" applyBorder="1" applyFill="1" applyFont="1">
      <alignment horizontal="center" readingOrder="0" shrinkToFit="0" vertical="center" wrapText="1"/>
    </xf>
    <xf borderId="0" fillId="0" fontId="1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75"/>
    <col customWidth="1" min="3" max="3" width="35.13"/>
    <col customWidth="1" min="4" max="4" width="19.63"/>
    <col customWidth="1" min="5" max="5" width="15.75"/>
    <col customWidth="1" min="6" max="6" width="13.63"/>
    <col customWidth="1" min="9" max="9" width="18.25"/>
    <col customWidth="1" min="10" max="10" width="17.38"/>
    <col customWidth="1" min="11" max="11" width="16.63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1" t="s">
        <v>1</v>
      </c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5.0" customHeight="1">
      <c r="A2" s="5" t="s">
        <v>2</v>
      </c>
      <c r="B2" s="5" t="s">
        <v>3</v>
      </c>
      <c r="C2" s="5" t="s">
        <v>4</v>
      </c>
      <c r="D2" s="6" t="s">
        <v>5</v>
      </c>
      <c r="E2" s="7" t="s">
        <v>6</v>
      </c>
      <c r="F2" s="3"/>
      <c r="G2" s="8" t="s">
        <v>7</v>
      </c>
      <c r="H2" s="3"/>
      <c r="I2" s="9" t="s">
        <v>8</v>
      </c>
      <c r="J2" s="10" t="s">
        <v>9</v>
      </c>
      <c r="K2" s="11" t="s">
        <v>10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2">
        <v>1.0</v>
      </c>
      <c r="B3" s="13" t="s">
        <v>11</v>
      </c>
      <c r="C3" s="14" t="s">
        <v>12</v>
      </c>
      <c r="D3" s="15">
        <f>E3+G3</f>
        <v>2</v>
      </c>
      <c r="E3" s="16">
        <v>0.0</v>
      </c>
      <c r="F3" s="17" t="str">
        <f t="shared" ref="F3:F16" si="1">"("&amp;ROUND((E3/D3*100),0)&amp;"%)"</f>
        <v>(0%)</v>
      </c>
      <c r="G3" s="18">
        <v>2.0</v>
      </c>
      <c r="H3" s="19" t="str">
        <f t="shared" ref="H3:H16" si="2">"("&amp;ROUND((G3/D3*100),0)&amp;"%)"</f>
        <v>(100%)</v>
      </c>
      <c r="I3" s="20" t="s">
        <v>13</v>
      </c>
      <c r="J3" s="21">
        <v>52.0</v>
      </c>
      <c r="K3" s="22" t="s">
        <v>14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2">
        <v>2.0</v>
      </c>
      <c r="B4" s="23"/>
      <c r="C4" s="24" t="s">
        <v>15</v>
      </c>
      <c r="D4" s="15">
        <v>133.0</v>
      </c>
      <c r="E4" s="16">
        <v>17.0</v>
      </c>
      <c r="F4" s="17" t="str">
        <f t="shared" si="1"/>
        <v>(13%)</v>
      </c>
      <c r="G4" s="18">
        <v>116.0</v>
      </c>
      <c r="H4" s="19" t="str">
        <f t="shared" si="2"/>
        <v>(87%)</v>
      </c>
      <c r="I4" s="25" t="s">
        <v>16</v>
      </c>
      <c r="J4" s="21">
        <v>119.0</v>
      </c>
      <c r="K4" s="22">
        <v>340.0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2">
        <v>3.0</v>
      </c>
      <c r="B5" s="23"/>
      <c r="C5" s="24" t="s">
        <v>17</v>
      </c>
      <c r="D5" s="15">
        <v>485.0</v>
      </c>
      <c r="E5" s="16">
        <v>23.0</v>
      </c>
      <c r="F5" s="17" t="str">
        <f t="shared" si="1"/>
        <v>(5%)</v>
      </c>
      <c r="G5" s="18">
        <v>462.0</v>
      </c>
      <c r="H5" s="19" t="str">
        <f t="shared" si="2"/>
        <v>(95%)</v>
      </c>
      <c r="I5" s="25" t="s">
        <v>16</v>
      </c>
      <c r="J5" s="21">
        <v>42.0</v>
      </c>
      <c r="K5" s="22">
        <v>29.0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2">
        <v>4.0</v>
      </c>
      <c r="B6" s="23"/>
      <c r="C6" s="14" t="s">
        <v>18</v>
      </c>
      <c r="D6" s="15">
        <f>E6+G6</f>
        <v>4</v>
      </c>
      <c r="E6" s="16">
        <v>1.0</v>
      </c>
      <c r="F6" s="17" t="str">
        <f t="shared" si="1"/>
        <v>(25%)</v>
      </c>
      <c r="G6" s="18">
        <v>3.0</v>
      </c>
      <c r="H6" s="19" t="str">
        <f t="shared" si="2"/>
        <v>(75%)</v>
      </c>
      <c r="I6" s="20" t="s">
        <v>16</v>
      </c>
      <c r="J6" s="21">
        <v>74.0</v>
      </c>
      <c r="K6" s="22">
        <v>118.0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2">
        <v>5.0</v>
      </c>
      <c r="B7" s="23"/>
      <c r="C7" s="24" t="s">
        <v>19</v>
      </c>
      <c r="D7" s="15">
        <v>47.0</v>
      </c>
      <c r="E7" s="16">
        <v>4.0</v>
      </c>
      <c r="F7" s="17" t="str">
        <f t="shared" si="1"/>
        <v>(9%)</v>
      </c>
      <c r="G7" s="18">
        <v>43.0</v>
      </c>
      <c r="H7" s="19" t="str">
        <f t="shared" si="2"/>
        <v>(91%)</v>
      </c>
      <c r="I7" s="25" t="s">
        <v>16</v>
      </c>
      <c r="J7" s="21">
        <v>22.0</v>
      </c>
      <c r="K7" s="22">
        <v>81.0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2">
        <v>6.0</v>
      </c>
      <c r="B8" s="23"/>
      <c r="C8" s="24" t="s">
        <v>20</v>
      </c>
      <c r="D8" s="15">
        <v>19.0</v>
      </c>
      <c r="E8" s="16">
        <v>7.0</v>
      </c>
      <c r="F8" s="17" t="str">
        <f t="shared" si="1"/>
        <v>(37%)</v>
      </c>
      <c r="G8" s="18">
        <v>12.0</v>
      </c>
      <c r="H8" s="19" t="str">
        <f t="shared" si="2"/>
        <v>(63%)</v>
      </c>
      <c r="I8" s="20" t="s">
        <v>16</v>
      </c>
      <c r="J8" s="21">
        <v>20.0</v>
      </c>
      <c r="K8" s="22">
        <v>72.0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2">
        <v>7.0</v>
      </c>
      <c r="B9" s="23"/>
      <c r="C9" s="24" t="s">
        <v>21</v>
      </c>
      <c r="D9" s="15">
        <v>44.0</v>
      </c>
      <c r="E9" s="16">
        <v>15.0</v>
      </c>
      <c r="F9" s="17" t="str">
        <f t="shared" si="1"/>
        <v>(34%)</v>
      </c>
      <c r="G9" s="18">
        <v>29.0</v>
      </c>
      <c r="H9" s="19" t="str">
        <f t="shared" si="2"/>
        <v>(66%)</v>
      </c>
      <c r="I9" s="20" t="s">
        <v>16</v>
      </c>
      <c r="J9" s="21">
        <v>9.0</v>
      </c>
      <c r="K9" s="22">
        <v>101.0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2">
        <v>8.0</v>
      </c>
      <c r="B10" s="23"/>
      <c r="C10" s="26" t="s">
        <v>22</v>
      </c>
      <c r="D10" s="15">
        <f>E10+G10</f>
        <v>9</v>
      </c>
      <c r="E10" s="16">
        <v>0.0</v>
      </c>
      <c r="F10" s="17" t="str">
        <f t="shared" si="1"/>
        <v>(0%)</v>
      </c>
      <c r="G10" s="18">
        <v>9.0</v>
      </c>
      <c r="H10" s="19" t="str">
        <f t="shared" si="2"/>
        <v>(100%)</v>
      </c>
      <c r="I10" s="20" t="s">
        <v>16</v>
      </c>
      <c r="J10" s="21">
        <v>91.0</v>
      </c>
      <c r="K10" s="22" t="s">
        <v>14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2">
        <v>9.0</v>
      </c>
      <c r="B11" s="23"/>
      <c r="C11" s="24" t="s">
        <v>23</v>
      </c>
      <c r="D11" s="15">
        <v>131.0</v>
      </c>
      <c r="E11" s="16">
        <v>3.0</v>
      </c>
      <c r="F11" s="17" t="str">
        <f t="shared" si="1"/>
        <v>(2%)</v>
      </c>
      <c r="G11" s="18">
        <v>128.0</v>
      </c>
      <c r="H11" s="19" t="str">
        <f t="shared" si="2"/>
        <v>(98%)</v>
      </c>
      <c r="I11" s="20" t="s">
        <v>16</v>
      </c>
      <c r="J11" s="21">
        <v>17.0</v>
      </c>
      <c r="K11" s="22">
        <v>29.0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2">
        <v>10.0</v>
      </c>
      <c r="B12" s="23"/>
      <c r="C12" s="14" t="s">
        <v>24</v>
      </c>
      <c r="D12" s="15">
        <f>E12+G12</f>
        <v>2</v>
      </c>
      <c r="E12" s="16">
        <v>0.0</v>
      </c>
      <c r="F12" s="17" t="str">
        <f t="shared" si="1"/>
        <v>(0%)</v>
      </c>
      <c r="G12" s="18">
        <v>2.0</v>
      </c>
      <c r="H12" s="19" t="str">
        <f t="shared" si="2"/>
        <v>(100%)</v>
      </c>
      <c r="I12" s="20" t="s">
        <v>16</v>
      </c>
      <c r="J12" s="21">
        <v>128.0</v>
      </c>
      <c r="K12" s="22" t="s">
        <v>14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2">
        <v>11.0</v>
      </c>
      <c r="B13" s="23"/>
      <c r="C13" s="24" t="s">
        <v>25</v>
      </c>
      <c r="D13" s="15">
        <v>1671.0</v>
      </c>
      <c r="E13" s="16">
        <v>121.0</v>
      </c>
      <c r="F13" s="17" t="str">
        <f t="shared" si="1"/>
        <v>(7%)</v>
      </c>
      <c r="G13" s="18">
        <v>1550.0</v>
      </c>
      <c r="H13" s="19" t="str">
        <f t="shared" si="2"/>
        <v>(93%)</v>
      </c>
      <c r="I13" s="25" t="s">
        <v>16</v>
      </c>
      <c r="J13" s="21">
        <v>53.0</v>
      </c>
      <c r="K13" s="22">
        <v>82.0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2">
        <v>12.0</v>
      </c>
      <c r="B14" s="23"/>
      <c r="C14" s="24" t="s">
        <v>26</v>
      </c>
      <c r="D14" s="15">
        <v>148.0</v>
      </c>
      <c r="E14" s="27">
        <v>46.0</v>
      </c>
      <c r="F14" s="17" t="str">
        <f t="shared" si="1"/>
        <v>(31%)</v>
      </c>
      <c r="G14" s="28">
        <v>102.0</v>
      </c>
      <c r="H14" s="19" t="str">
        <f t="shared" si="2"/>
        <v>(69%)</v>
      </c>
      <c r="I14" s="20" t="s">
        <v>16</v>
      </c>
      <c r="J14" s="21">
        <v>185.0</v>
      </c>
      <c r="K14" s="22">
        <v>118.0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2">
        <v>13.0</v>
      </c>
      <c r="B15" s="23"/>
      <c r="C15" s="24" t="s">
        <v>27</v>
      </c>
      <c r="D15" s="15">
        <v>42.0</v>
      </c>
      <c r="E15" s="27">
        <v>8.0</v>
      </c>
      <c r="F15" s="17" t="str">
        <f t="shared" si="1"/>
        <v>(19%)</v>
      </c>
      <c r="G15" s="28">
        <v>34.0</v>
      </c>
      <c r="H15" s="19" t="str">
        <f t="shared" si="2"/>
        <v>(81%)</v>
      </c>
      <c r="I15" s="25" t="s">
        <v>16</v>
      </c>
      <c r="J15" s="21">
        <v>17.0</v>
      </c>
      <c r="K15" s="22">
        <v>12.0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2">
        <v>14.0</v>
      </c>
      <c r="B16" s="23"/>
      <c r="C16" s="24" t="s">
        <v>28</v>
      </c>
      <c r="D16" s="15">
        <f t="shared" ref="D16:D18" si="3">E16+G16</f>
        <v>215</v>
      </c>
      <c r="E16" s="27">
        <v>2.0</v>
      </c>
      <c r="F16" s="17" t="str">
        <f t="shared" si="1"/>
        <v>(1%)</v>
      </c>
      <c r="G16" s="28">
        <v>213.0</v>
      </c>
      <c r="H16" s="19" t="str">
        <f t="shared" si="2"/>
        <v>(99%)</v>
      </c>
      <c r="I16" s="20" t="s">
        <v>16</v>
      </c>
      <c r="J16" s="21">
        <v>3.0</v>
      </c>
      <c r="K16" s="22">
        <v>111.0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2">
        <v>15.0</v>
      </c>
      <c r="B17" s="23"/>
      <c r="C17" s="14" t="s">
        <v>29</v>
      </c>
      <c r="D17" s="15">
        <f t="shared" si="3"/>
        <v>0</v>
      </c>
      <c r="E17" s="27">
        <v>0.0</v>
      </c>
      <c r="F17" s="29">
        <v>0.0</v>
      </c>
      <c r="G17" s="28">
        <v>0.0</v>
      </c>
      <c r="H17" s="30">
        <v>0.0</v>
      </c>
      <c r="I17" s="20" t="s">
        <v>30</v>
      </c>
      <c r="J17" s="21" t="s">
        <v>14</v>
      </c>
      <c r="K17" s="22">
        <v>0.0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2">
        <v>16.0</v>
      </c>
      <c r="B18" s="31"/>
      <c r="C18" s="32" t="s">
        <v>31</v>
      </c>
      <c r="D18" s="15">
        <f t="shared" si="3"/>
        <v>10</v>
      </c>
      <c r="E18" s="27">
        <v>0.0</v>
      </c>
      <c r="F18" s="17" t="str">
        <f t="shared" ref="F18:F50" si="5">"("&amp;ROUND((E18/D18*100),0)&amp;"%)"</f>
        <v>(0%)</v>
      </c>
      <c r="G18" s="28">
        <v>10.0</v>
      </c>
      <c r="H18" s="19" t="str">
        <f t="shared" ref="H18:H50" si="6">"("&amp;ROUND((G18/D18*100),0)&amp;"%)"</f>
        <v>(100%)</v>
      </c>
      <c r="I18" s="20" t="s">
        <v>16</v>
      </c>
      <c r="J18" s="21">
        <v>11.0</v>
      </c>
      <c r="K18" s="22" t="s">
        <v>14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3"/>
      <c r="B19" s="34" t="s">
        <v>32</v>
      </c>
      <c r="C19" s="3"/>
      <c r="D19" s="35">
        <f t="shared" ref="D19:E19" si="4">Sum(D3:D18)</f>
        <v>2962</v>
      </c>
      <c r="E19" s="35">
        <f t="shared" si="4"/>
        <v>247</v>
      </c>
      <c r="F19" s="35" t="str">
        <f t="shared" si="5"/>
        <v>(8%)</v>
      </c>
      <c r="G19" s="35">
        <f>SUM(G3:G18)</f>
        <v>2715</v>
      </c>
      <c r="H19" s="35" t="str">
        <f t="shared" si="6"/>
        <v>(92%)</v>
      </c>
      <c r="I19" s="33"/>
      <c r="J19" s="36">
        <v>53.0</v>
      </c>
      <c r="K19" s="36">
        <v>112.0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2">
        <v>17.0</v>
      </c>
      <c r="B20" s="13" t="s">
        <v>33</v>
      </c>
      <c r="C20" s="24" t="s">
        <v>34</v>
      </c>
      <c r="D20" s="37">
        <f t="shared" ref="D20:D24" si="7">E20+G20</f>
        <v>16</v>
      </c>
      <c r="E20" s="27">
        <v>10.0</v>
      </c>
      <c r="F20" s="17" t="str">
        <f t="shared" si="5"/>
        <v>(63%)</v>
      </c>
      <c r="G20" s="18">
        <v>6.0</v>
      </c>
      <c r="H20" s="19" t="str">
        <f t="shared" si="6"/>
        <v>(38%)</v>
      </c>
      <c r="I20" s="20" t="s">
        <v>16</v>
      </c>
      <c r="J20" s="21">
        <v>25.0</v>
      </c>
      <c r="K20" s="22">
        <v>284.0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2">
        <v>18.0</v>
      </c>
      <c r="B21" s="23"/>
      <c r="C21" s="24" t="s">
        <v>35</v>
      </c>
      <c r="D21" s="37">
        <f t="shared" si="7"/>
        <v>14</v>
      </c>
      <c r="E21" s="27">
        <v>4.0</v>
      </c>
      <c r="F21" s="17" t="str">
        <f t="shared" si="5"/>
        <v>(29%)</v>
      </c>
      <c r="G21" s="18">
        <v>10.0</v>
      </c>
      <c r="H21" s="19" t="str">
        <f t="shared" si="6"/>
        <v>(71%)</v>
      </c>
      <c r="I21" s="20" t="s">
        <v>16</v>
      </c>
      <c r="J21" s="21">
        <v>74.0</v>
      </c>
      <c r="K21" s="22">
        <v>163.0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2">
        <v>19.0</v>
      </c>
      <c r="B22" s="23"/>
      <c r="C22" s="24" t="s">
        <v>36</v>
      </c>
      <c r="D22" s="37">
        <f t="shared" si="7"/>
        <v>11</v>
      </c>
      <c r="E22" s="27">
        <v>1.0</v>
      </c>
      <c r="F22" s="17" t="str">
        <f t="shared" si="5"/>
        <v>(9%)</v>
      </c>
      <c r="G22" s="18">
        <v>10.0</v>
      </c>
      <c r="H22" s="19" t="str">
        <f t="shared" si="6"/>
        <v>(91%)</v>
      </c>
      <c r="I22" s="20" t="s">
        <v>16</v>
      </c>
      <c r="J22" s="21">
        <v>97.0</v>
      </c>
      <c r="K22" s="22">
        <v>239.0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2">
        <v>20.0</v>
      </c>
      <c r="B23" s="23"/>
      <c r="C23" s="24" t="s">
        <v>37</v>
      </c>
      <c r="D23" s="37">
        <f t="shared" si="7"/>
        <v>206</v>
      </c>
      <c r="E23" s="27">
        <v>132.0</v>
      </c>
      <c r="F23" s="17" t="str">
        <f t="shared" si="5"/>
        <v>(64%)</v>
      </c>
      <c r="G23" s="18">
        <v>74.0</v>
      </c>
      <c r="H23" s="19" t="str">
        <f t="shared" si="6"/>
        <v>(36%)</v>
      </c>
      <c r="I23" s="25" t="s">
        <v>16</v>
      </c>
      <c r="J23" s="21">
        <v>171.0</v>
      </c>
      <c r="K23" s="22">
        <v>226.0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2">
        <v>21.0</v>
      </c>
      <c r="B24" s="23"/>
      <c r="C24" s="26" t="s">
        <v>38</v>
      </c>
      <c r="D24" s="37">
        <f t="shared" si="7"/>
        <v>16</v>
      </c>
      <c r="E24" s="27">
        <v>8.0</v>
      </c>
      <c r="F24" s="17" t="str">
        <f t="shared" si="5"/>
        <v>(50%)</v>
      </c>
      <c r="G24" s="18">
        <v>8.0</v>
      </c>
      <c r="H24" s="19" t="str">
        <f t="shared" si="6"/>
        <v>(50%)</v>
      </c>
      <c r="I24" s="20" t="s">
        <v>13</v>
      </c>
      <c r="J24" s="21">
        <v>86.0</v>
      </c>
      <c r="K24" s="22">
        <v>188.0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2">
        <v>22.0</v>
      </c>
      <c r="B25" s="23"/>
      <c r="C25" s="24" t="s">
        <v>39</v>
      </c>
      <c r="D25" s="15">
        <v>7.0</v>
      </c>
      <c r="E25" s="27">
        <v>4.0</v>
      </c>
      <c r="F25" s="17" t="str">
        <f t="shared" si="5"/>
        <v>(57%)</v>
      </c>
      <c r="G25" s="18">
        <v>3.0</v>
      </c>
      <c r="H25" s="19" t="str">
        <f t="shared" si="6"/>
        <v>(43%)</v>
      </c>
      <c r="I25" s="38" t="s">
        <v>16</v>
      </c>
      <c r="J25" s="21">
        <v>180.0</v>
      </c>
      <c r="K25" s="22">
        <v>48.0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2">
        <v>23.0</v>
      </c>
      <c r="B26" s="23"/>
      <c r="C26" s="26" t="s">
        <v>40</v>
      </c>
      <c r="D26" s="37">
        <f>E26+G26</f>
        <v>14</v>
      </c>
      <c r="E26" s="27">
        <v>5.0</v>
      </c>
      <c r="F26" s="17" t="str">
        <f t="shared" si="5"/>
        <v>(36%)</v>
      </c>
      <c r="G26" s="18">
        <v>9.0</v>
      </c>
      <c r="H26" s="19" t="str">
        <f t="shared" si="6"/>
        <v>(64%)</v>
      </c>
      <c r="I26" s="20" t="s">
        <v>13</v>
      </c>
      <c r="J26" s="21">
        <v>35.0</v>
      </c>
      <c r="K26" s="22">
        <v>143.0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2">
        <v>24.0</v>
      </c>
      <c r="B27" s="23"/>
      <c r="C27" s="24" t="s">
        <v>41</v>
      </c>
      <c r="D27" s="15">
        <v>190.0</v>
      </c>
      <c r="E27" s="27">
        <v>125.0</v>
      </c>
      <c r="F27" s="17" t="str">
        <f t="shared" si="5"/>
        <v>(66%)</v>
      </c>
      <c r="G27" s="18">
        <v>65.0</v>
      </c>
      <c r="H27" s="19" t="str">
        <f t="shared" si="6"/>
        <v>(34%)</v>
      </c>
      <c r="I27" s="25" t="s">
        <v>16</v>
      </c>
      <c r="J27" s="21">
        <v>25.0</v>
      </c>
      <c r="K27" s="22">
        <v>248.0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2">
        <v>25.0</v>
      </c>
      <c r="B28" s="23"/>
      <c r="C28" s="24" t="s">
        <v>42</v>
      </c>
      <c r="D28" s="15">
        <v>1064.0</v>
      </c>
      <c r="E28" s="27">
        <v>179.0</v>
      </c>
      <c r="F28" s="17" t="str">
        <f t="shared" si="5"/>
        <v>(17%)</v>
      </c>
      <c r="G28" s="18">
        <v>885.0</v>
      </c>
      <c r="H28" s="19" t="str">
        <f t="shared" si="6"/>
        <v>(83%)</v>
      </c>
      <c r="I28" s="25" t="s">
        <v>16</v>
      </c>
      <c r="J28" s="21">
        <v>26.0</v>
      </c>
      <c r="K28" s="22">
        <v>117.0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2">
        <v>26.0</v>
      </c>
      <c r="B29" s="23"/>
      <c r="C29" s="24" t="s">
        <v>43</v>
      </c>
      <c r="D29" s="15">
        <v>152.0</v>
      </c>
      <c r="E29" s="27">
        <v>126.0</v>
      </c>
      <c r="F29" s="17" t="str">
        <f t="shared" si="5"/>
        <v>(83%)</v>
      </c>
      <c r="G29" s="18">
        <v>26.0</v>
      </c>
      <c r="H29" s="19" t="str">
        <f t="shared" si="6"/>
        <v>(17%)</v>
      </c>
      <c r="I29" s="20" t="s">
        <v>16</v>
      </c>
      <c r="J29" s="21">
        <v>71.0</v>
      </c>
      <c r="K29" s="22">
        <v>234.0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2">
        <v>27.0</v>
      </c>
      <c r="B30" s="23"/>
      <c r="C30" s="24" t="s">
        <v>44</v>
      </c>
      <c r="D30" s="15">
        <v>8.0</v>
      </c>
      <c r="E30" s="27">
        <v>1.0</v>
      </c>
      <c r="F30" s="17" t="str">
        <f t="shared" si="5"/>
        <v>(13%)</v>
      </c>
      <c r="G30" s="18">
        <v>7.0</v>
      </c>
      <c r="H30" s="19" t="str">
        <f t="shared" si="6"/>
        <v>(88%)</v>
      </c>
      <c r="I30" s="20" t="s">
        <v>13</v>
      </c>
      <c r="J30" s="21">
        <v>50.0</v>
      </c>
      <c r="K30" s="22">
        <v>1.0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2">
        <v>28.0</v>
      </c>
      <c r="B31" s="31"/>
      <c r="C31" s="24" t="s">
        <v>45</v>
      </c>
      <c r="D31" s="15">
        <v>158.0</v>
      </c>
      <c r="E31" s="27">
        <v>144.0</v>
      </c>
      <c r="F31" s="17" t="str">
        <f t="shared" si="5"/>
        <v>(91%)</v>
      </c>
      <c r="G31" s="18">
        <v>14.0</v>
      </c>
      <c r="H31" s="19" t="str">
        <f t="shared" si="6"/>
        <v>(9%)</v>
      </c>
      <c r="I31" s="20" t="s">
        <v>13</v>
      </c>
      <c r="J31" s="21">
        <v>24.0</v>
      </c>
      <c r="K31" s="22">
        <v>399.0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3"/>
      <c r="B32" s="34" t="s">
        <v>46</v>
      </c>
      <c r="C32" s="3"/>
      <c r="D32" s="39">
        <f t="shared" ref="D32:D34" si="8">E32+G32</f>
        <v>1856</v>
      </c>
      <c r="E32" s="35">
        <f>Sum(E20:E31)</f>
        <v>739</v>
      </c>
      <c r="F32" s="35" t="str">
        <f t="shared" si="5"/>
        <v>(40%)</v>
      </c>
      <c r="G32" s="35">
        <f>Sum(G20:G31)</f>
        <v>1117</v>
      </c>
      <c r="H32" s="35" t="str">
        <f t="shared" si="6"/>
        <v>(60%)</v>
      </c>
      <c r="I32" s="33"/>
      <c r="J32" s="36">
        <v>39.0</v>
      </c>
      <c r="K32" s="36">
        <v>215.0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2">
        <v>29.0</v>
      </c>
      <c r="B33" s="40" t="s">
        <v>47</v>
      </c>
      <c r="C33" s="24" t="s">
        <v>48</v>
      </c>
      <c r="D33" s="37">
        <f t="shared" si="8"/>
        <v>8</v>
      </c>
      <c r="E33" s="16">
        <v>3.0</v>
      </c>
      <c r="F33" s="17" t="str">
        <f t="shared" si="5"/>
        <v>(38%)</v>
      </c>
      <c r="G33" s="18">
        <v>5.0</v>
      </c>
      <c r="H33" s="19" t="str">
        <f t="shared" si="6"/>
        <v>(63%)</v>
      </c>
      <c r="I33" s="20" t="s">
        <v>16</v>
      </c>
      <c r="J33" s="41">
        <v>55.0</v>
      </c>
      <c r="K33" s="42">
        <v>210.0</v>
      </c>
      <c r="L33" s="43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3"/>
      <c r="B34" s="34" t="s">
        <v>49</v>
      </c>
      <c r="C34" s="3"/>
      <c r="D34" s="35">
        <f t="shared" si="8"/>
        <v>8</v>
      </c>
      <c r="E34" s="35">
        <f>Sum(E33)</f>
        <v>3</v>
      </c>
      <c r="F34" s="35" t="str">
        <f t="shared" si="5"/>
        <v>(38%)</v>
      </c>
      <c r="G34" s="39">
        <v>5.0</v>
      </c>
      <c r="H34" s="35" t="str">
        <f t="shared" si="6"/>
        <v>(63%)</v>
      </c>
      <c r="I34" s="33"/>
      <c r="J34" s="36">
        <v>55.0</v>
      </c>
      <c r="K34" s="36">
        <v>182.0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2">
        <v>30.0</v>
      </c>
      <c r="B35" s="13" t="s">
        <v>50</v>
      </c>
      <c r="C35" s="24" t="s">
        <v>51</v>
      </c>
      <c r="D35" s="15">
        <v>81.0</v>
      </c>
      <c r="E35" s="16">
        <v>22.0</v>
      </c>
      <c r="F35" s="17" t="str">
        <f t="shared" si="5"/>
        <v>(27%)</v>
      </c>
      <c r="G35" s="18">
        <v>59.0</v>
      </c>
      <c r="H35" s="19" t="str">
        <f t="shared" si="6"/>
        <v>(73%)</v>
      </c>
      <c r="I35" s="25" t="s">
        <v>16</v>
      </c>
      <c r="J35" s="21">
        <v>48.0</v>
      </c>
      <c r="K35" s="22">
        <v>136.0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2">
        <v>31.0</v>
      </c>
      <c r="B36" s="23"/>
      <c r="C36" s="26" t="s">
        <v>52</v>
      </c>
      <c r="D36" s="15">
        <f t="shared" ref="D36:D38" si="9">E36+G36</f>
        <v>21</v>
      </c>
      <c r="E36" s="16">
        <v>8.0</v>
      </c>
      <c r="F36" s="17" t="str">
        <f t="shared" si="5"/>
        <v>(38%)</v>
      </c>
      <c r="G36" s="18">
        <v>13.0</v>
      </c>
      <c r="H36" s="19" t="str">
        <f t="shared" si="6"/>
        <v>(62%)</v>
      </c>
      <c r="I36" s="20" t="s">
        <v>13</v>
      </c>
      <c r="J36" s="21">
        <v>129.0</v>
      </c>
      <c r="K36" s="22">
        <v>279.0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2">
        <v>32.0</v>
      </c>
      <c r="B37" s="23"/>
      <c r="C37" s="24" t="s">
        <v>53</v>
      </c>
      <c r="D37" s="15">
        <f t="shared" si="9"/>
        <v>7</v>
      </c>
      <c r="E37" s="16">
        <v>2.0</v>
      </c>
      <c r="F37" s="17" t="str">
        <f t="shared" si="5"/>
        <v>(29%)</v>
      </c>
      <c r="G37" s="18">
        <v>5.0</v>
      </c>
      <c r="H37" s="19" t="str">
        <f t="shared" si="6"/>
        <v>(71%)</v>
      </c>
      <c r="I37" s="25" t="s">
        <v>13</v>
      </c>
      <c r="J37" s="21">
        <v>393.0</v>
      </c>
      <c r="K37" s="22">
        <v>559.0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2">
        <v>33.0</v>
      </c>
      <c r="B38" s="23"/>
      <c r="C38" s="24" t="s">
        <v>54</v>
      </c>
      <c r="D38" s="15">
        <f t="shared" si="9"/>
        <v>37</v>
      </c>
      <c r="E38" s="16">
        <v>35.0</v>
      </c>
      <c r="F38" s="17" t="str">
        <f t="shared" si="5"/>
        <v>(95%)</v>
      </c>
      <c r="G38" s="18">
        <v>2.0</v>
      </c>
      <c r="H38" s="19" t="str">
        <f t="shared" si="6"/>
        <v>(5%)</v>
      </c>
      <c r="I38" s="20" t="s">
        <v>16</v>
      </c>
      <c r="J38" s="21">
        <v>77.0</v>
      </c>
      <c r="K38" s="22">
        <v>314.0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2">
        <v>34.0</v>
      </c>
      <c r="B39" s="23"/>
      <c r="C39" s="24" t="s">
        <v>55</v>
      </c>
      <c r="D39" s="15">
        <v>1068.0</v>
      </c>
      <c r="E39" s="16">
        <v>521.0</v>
      </c>
      <c r="F39" s="17" t="str">
        <f t="shared" si="5"/>
        <v>(49%)</v>
      </c>
      <c r="G39" s="18">
        <v>547.0</v>
      </c>
      <c r="H39" s="19" t="str">
        <f t="shared" si="6"/>
        <v>(51%)</v>
      </c>
      <c r="I39" s="25" t="s">
        <v>16</v>
      </c>
      <c r="J39" s="21">
        <v>30.0</v>
      </c>
      <c r="K39" s="22">
        <v>219.0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2">
        <v>35.0</v>
      </c>
      <c r="B40" s="23"/>
      <c r="C40" s="24" t="s">
        <v>56</v>
      </c>
      <c r="D40" s="15">
        <f t="shared" ref="D40:D41" si="10">E40+G40</f>
        <v>10</v>
      </c>
      <c r="E40" s="16">
        <v>2.0</v>
      </c>
      <c r="F40" s="17" t="str">
        <f t="shared" si="5"/>
        <v>(20%)</v>
      </c>
      <c r="G40" s="18">
        <v>8.0</v>
      </c>
      <c r="H40" s="19" t="str">
        <f t="shared" si="6"/>
        <v>(80%)</v>
      </c>
      <c r="I40" s="20" t="s">
        <v>13</v>
      </c>
      <c r="J40" s="44">
        <v>187.25</v>
      </c>
      <c r="K40" s="22">
        <v>97.0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2">
        <v>36.0</v>
      </c>
      <c r="B41" s="23"/>
      <c r="C41" s="26" t="s">
        <v>57</v>
      </c>
      <c r="D41" s="15">
        <f t="shared" si="10"/>
        <v>41</v>
      </c>
      <c r="E41" s="16">
        <v>40.0</v>
      </c>
      <c r="F41" s="17" t="str">
        <f t="shared" si="5"/>
        <v>(98%)</v>
      </c>
      <c r="G41" s="18">
        <v>1.0</v>
      </c>
      <c r="H41" s="19" t="str">
        <f t="shared" si="6"/>
        <v>(2%)</v>
      </c>
      <c r="I41" s="20" t="s">
        <v>13</v>
      </c>
      <c r="J41" s="44">
        <v>50.0</v>
      </c>
      <c r="K41" s="22">
        <v>354.0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2">
        <v>37.0</v>
      </c>
      <c r="B42" s="23"/>
      <c r="C42" s="24" t="s">
        <v>58</v>
      </c>
      <c r="D42" s="15">
        <v>450.0</v>
      </c>
      <c r="E42" s="16">
        <v>36.0</v>
      </c>
      <c r="F42" s="17" t="str">
        <f t="shared" si="5"/>
        <v>(8%)</v>
      </c>
      <c r="G42" s="18">
        <v>414.0</v>
      </c>
      <c r="H42" s="19" t="str">
        <f t="shared" si="6"/>
        <v>(92%)</v>
      </c>
      <c r="I42" s="25" t="s">
        <v>16</v>
      </c>
      <c r="J42" s="21">
        <v>16.0</v>
      </c>
      <c r="K42" s="22">
        <v>135.0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2">
        <v>38.0</v>
      </c>
      <c r="B43" s="23"/>
      <c r="C43" s="24" t="s">
        <v>59</v>
      </c>
      <c r="D43" s="15">
        <v>28.0</v>
      </c>
      <c r="E43" s="16">
        <v>8.0</v>
      </c>
      <c r="F43" s="17" t="str">
        <f t="shared" si="5"/>
        <v>(29%)</v>
      </c>
      <c r="G43" s="18">
        <v>20.0</v>
      </c>
      <c r="H43" s="19" t="str">
        <f t="shared" si="6"/>
        <v>(71%)</v>
      </c>
      <c r="I43" s="25" t="s">
        <v>16</v>
      </c>
      <c r="J43" s="44">
        <v>51.15</v>
      </c>
      <c r="K43" s="22">
        <v>83.0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2">
        <v>39.0</v>
      </c>
      <c r="B44" s="23"/>
      <c r="C44" s="24" t="s">
        <v>60</v>
      </c>
      <c r="D44" s="15">
        <v>169.0</v>
      </c>
      <c r="E44" s="16">
        <v>17.0</v>
      </c>
      <c r="F44" s="17" t="str">
        <f t="shared" si="5"/>
        <v>(10%)</v>
      </c>
      <c r="G44" s="18">
        <v>152.0</v>
      </c>
      <c r="H44" s="19" t="str">
        <f t="shared" si="6"/>
        <v>(90%)</v>
      </c>
      <c r="I44" s="25" t="s">
        <v>16</v>
      </c>
      <c r="J44" s="21">
        <v>64.0</v>
      </c>
      <c r="K44" s="22">
        <v>144.0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2">
        <v>40.0</v>
      </c>
      <c r="B45" s="23"/>
      <c r="C45" s="24" t="s">
        <v>61</v>
      </c>
      <c r="D45" s="15">
        <v>93.0</v>
      </c>
      <c r="E45" s="16">
        <v>18.0</v>
      </c>
      <c r="F45" s="17" t="str">
        <f t="shared" si="5"/>
        <v>(19%)</v>
      </c>
      <c r="G45" s="18">
        <v>75.0</v>
      </c>
      <c r="H45" s="19" t="str">
        <f t="shared" si="6"/>
        <v>(81%)</v>
      </c>
      <c r="I45" s="25" t="s">
        <v>16</v>
      </c>
      <c r="J45" s="21">
        <v>39.0</v>
      </c>
      <c r="K45" s="22">
        <v>82.0</v>
      </c>
      <c r="L45" s="43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2">
        <v>41.0</v>
      </c>
      <c r="B46" s="31"/>
      <c r="C46" s="24" t="s">
        <v>62</v>
      </c>
      <c r="D46" s="15">
        <v>132.0</v>
      </c>
      <c r="E46" s="16">
        <v>79.0</v>
      </c>
      <c r="F46" s="17" t="str">
        <f t="shared" si="5"/>
        <v>(60%)</v>
      </c>
      <c r="G46" s="18">
        <v>53.0</v>
      </c>
      <c r="H46" s="19" t="str">
        <f t="shared" si="6"/>
        <v>(40%)</v>
      </c>
      <c r="I46" s="25" t="s">
        <v>16</v>
      </c>
      <c r="J46" s="21">
        <v>54.0</v>
      </c>
      <c r="K46" s="22">
        <v>156.0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3"/>
      <c r="B47" s="34" t="s">
        <v>63</v>
      </c>
      <c r="C47" s="3"/>
      <c r="D47" s="35">
        <f>E47+G47</f>
        <v>2137</v>
      </c>
      <c r="E47" s="35">
        <f>SUM(E35:E46)</f>
        <v>788</v>
      </c>
      <c r="F47" s="35" t="str">
        <f t="shared" si="5"/>
        <v>(37%)</v>
      </c>
      <c r="G47" s="35">
        <f>SUM(G35:G46)</f>
        <v>1349</v>
      </c>
      <c r="H47" s="35" t="str">
        <f t="shared" si="6"/>
        <v>(63%)</v>
      </c>
      <c r="I47" s="33"/>
      <c r="J47" s="36">
        <v>35.0</v>
      </c>
      <c r="K47" s="36">
        <v>194.0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2">
        <v>42.0</v>
      </c>
      <c r="B48" s="24"/>
      <c r="C48" s="24" t="s">
        <v>64</v>
      </c>
      <c r="D48" s="15">
        <v>54.0</v>
      </c>
      <c r="E48" s="16">
        <v>31.0</v>
      </c>
      <c r="F48" s="17" t="str">
        <f t="shared" si="5"/>
        <v>(57%)</v>
      </c>
      <c r="G48" s="18">
        <v>23.0</v>
      </c>
      <c r="H48" s="19" t="str">
        <f t="shared" si="6"/>
        <v>(43%)</v>
      </c>
      <c r="I48" s="20" t="s">
        <v>16</v>
      </c>
      <c r="J48" s="21">
        <v>79.0</v>
      </c>
      <c r="K48" s="42">
        <v>147.0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2">
        <v>43.0</v>
      </c>
      <c r="B49" s="24"/>
      <c r="C49" s="24" t="s">
        <v>65</v>
      </c>
      <c r="D49" s="15">
        <v>7.0</v>
      </c>
      <c r="E49" s="16">
        <v>5.0</v>
      </c>
      <c r="F49" s="17" t="str">
        <f t="shared" si="5"/>
        <v>(71%)</v>
      </c>
      <c r="G49" s="18">
        <v>2.0</v>
      </c>
      <c r="H49" s="19" t="str">
        <f t="shared" si="6"/>
        <v>(29%)</v>
      </c>
      <c r="I49" s="20" t="s">
        <v>13</v>
      </c>
      <c r="J49" s="21">
        <v>5.0</v>
      </c>
      <c r="K49" s="42">
        <v>245.0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8.25" customHeight="1">
      <c r="A50" s="45" t="s">
        <v>66</v>
      </c>
      <c r="B50" s="2"/>
      <c r="C50" s="3"/>
      <c r="D50" s="46">
        <f>E50+G50</f>
        <v>7024</v>
      </c>
      <c r="E50" s="46">
        <f>SUM(E19,E32,E34,E47,E48,E49)</f>
        <v>1813</v>
      </c>
      <c r="F50" s="46" t="str">
        <f t="shared" si="5"/>
        <v>(26%)</v>
      </c>
      <c r="G50" s="46">
        <f>SUM(G19,G32,G34,G47,G48,G49)</f>
        <v>5211</v>
      </c>
      <c r="H50" s="46" t="str">
        <f t="shared" si="6"/>
        <v>(74%)</v>
      </c>
      <c r="I50" s="47"/>
      <c r="J50" s="48">
        <v>45.0</v>
      </c>
      <c r="K50" s="48">
        <v>231.0</v>
      </c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</sheetData>
  <mergeCells count="12">
    <mergeCell ref="B32:C32"/>
    <mergeCell ref="B34:C34"/>
    <mergeCell ref="B35:B46"/>
    <mergeCell ref="B47:C47"/>
    <mergeCell ref="A50:C50"/>
    <mergeCell ref="A1:I1"/>
    <mergeCell ref="J1:K1"/>
    <mergeCell ref="E2:F2"/>
    <mergeCell ref="G2:H2"/>
    <mergeCell ref="B3:B18"/>
    <mergeCell ref="B19:C19"/>
    <mergeCell ref="B20:B3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